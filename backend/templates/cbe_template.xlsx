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ice Comparison" sheetId="2" state="visible" r:id="rId2"/>
  </sheets>
  <definedNames>
    <definedName name="_xlnm.Print_Area" localSheetId="0">'Sheet1'!$A$1:$AA$45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[$₸-43F];[Red]\-#,##0.00\ [$₸-43F]"/>
    <numFmt numFmtId="165" formatCode="#,##0.00\ [$₸-43F]"/>
    <numFmt numFmtId="166" formatCode="0.0%"/>
    <numFmt numFmtId="167" formatCode="#,##0\ [$₸-43F];[Red]\-#,##0\ [$₸-43F]"/>
    <numFmt numFmtId="168" formatCode="#,##0.00\ [$₸-43F];\-#,##0.00\ [$₸-43F]"/>
    <numFmt numFmtId="169" formatCode="_(&quot;$&quot;* #,##0.00_);_(&quot;$&quot;* \(#,##0.00\);_(&quot;$&quot;* &quot;-&quot;??_);_(@_)"/>
    <numFmt numFmtId="170" formatCode="_-* #,##0.00\ _T_L_-;\-* #,##0.00\ _T_L_-;_-* &quot;-&quot;??\ _T_L_-;_-@_-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rebuchet MS"/>
      <family val="2"/>
      <sz val="8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color indexed="8"/>
      <sz val="12"/>
    </font>
    <font>
      <name val="Trebuchet MS"/>
      <family val="2"/>
      <b val="1"/>
      <sz val="14"/>
    </font>
    <font>
      <name val="Trebuchet MS"/>
      <family val="2"/>
      <b val="1"/>
      <sz val="8"/>
    </font>
    <font>
      <name val="Trebuchet MS"/>
      <family val="2"/>
      <b val="1"/>
      <sz val="8"/>
      <u val="single"/>
    </font>
    <font>
      <name val="Trebuchet MS"/>
      <family val="2"/>
      <b val="1"/>
      <sz val="12"/>
      <u val="single"/>
    </font>
    <font>
      <name val="Trebuchet MS"/>
      <family val="2"/>
      <i val="1"/>
      <sz val="12"/>
    </font>
    <font>
      <name val="Trebuchet MS"/>
      <family val="2"/>
      <b val="1"/>
      <color rgb="FF0000FF"/>
      <sz val="12"/>
    </font>
    <font>
      <name val="Trebuchet MS"/>
      <family val="2"/>
      <color rgb="FF0000FF"/>
      <sz val="12"/>
    </font>
    <font>
      <name val="Trebuchet MS"/>
      <family val="2"/>
      <color rgb="FFFF0000"/>
      <sz val="12"/>
    </font>
    <font>
      <name val="Calibri"/>
      <family val="2"/>
      <sz val="8"/>
      <scheme val="minor"/>
    </font>
    <font>
      <name val="Arial"/>
      <charset val="162"/>
      <family val="2"/>
      <sz val="10"/>
    </font>
    <font>
      <name val="Arial"/>
      <charset val="204"/>
      <family val="2"/>
      <sz val="10"/>
    </font>
    <font>
      <name val="Calibri"/>
      <charset val="162"/>
      <family val="2"/>
      <color theme="1"/>
      <sz val="11"/>
      <scheme val="minor"/>
    </font>
    <font>
      <name val="Arial Tur"/>
      <charset val="162"/>
      <sz val="10"/>
    </font>
    <font>
      <name val="Arial Tur"/>
      <charset val="162"/>
      <color indexed="12"/>
      <sz val="10"/>
      <u val="single"/>
    </font>
    <font>
      <name val="Calibri"/>
      <charset val="162"/>
      <family val="2"/>
      <color theme="10"/>
      <sz val="11"/>
      <u val="single"/>
      <scheme val="minor"/>
    </font>
    <font>
      <name val="Arial"/>
      <family val="2"/>
      <color indexed="8"/>
      <sz val="10"/>
    </font>
    <font>
      <name val="Calibri"/>
      <charset val="162"/>
      <family val="2"/>
      <color indexed="8"/>
      <sz val="11"/>
    </font>
    <font>
      <name val="Helv"/>
      <charset val="204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rebuchet MS"/>
      <family val="2"/>
      <sz val="26"/>
    </font>
    <font>
      <name val="Trebuchet MS"/>
      <family val="2"/>
      <b val="1"/>
      <sz val="11"/>
    </font>
    <font>
      <name val="Trebuchet MS"/>
      <charset val="204"/>
      <family val="2"/>
      <b val="1"/>
      <sz val="12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theme="1"/>
      <sz val="10"/>
    </font>
    <font>
      <name val="Aptos"/>
      <family val="2"/>
      <color theme="1"/>
      <sz val="10"/>
    </font>
  </fonts>
  <fills count="1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3FAE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8FBFD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22">
    <xf numFmtId="0" fontId="1" fillId="0" borderId="0"/>
    <xf numFmtId="43" fontId="1" fillId="0" borderId="0"/>
    <xf numFmtId="169" fontId="1" fillId="0" borderId="0"/>
    <xf numFmtId="0" fontId="15" fillId="0" borderId="0"/>
    <xf numFmtId="0" fontId="25" fillId="0" borderId="0"/>
    <xf numFmtId="0" fontId="15" fillId="0" borderId="0"/>
    <xf numFmtId="0" fontId="18" fillId="0" borderId="0"/>
    <xf numFmtId="0" fontId="19" fillId="0" borderId="0" applyAlignment="1" applyProtection="1">
      <alignment vertical="top"/>
      <protection locked="0" hidden="0"/>
    </xf>
    <xf numFmtId="0" fontId="17" fillId="0" borderId="0"/>
    <xf numFmtId="0" fontId="20" fillId="0" borderId="0"/>
    <xf numFmtId="170" fontId="15" fillId="0" borderId="0"/>
    <xf numFmtId="170" fontId="15" fillId="0" borderId="0"/>
    <xf numFmtId="9" fontId="15" fillId="0" borderId="0"/>
    <xf numFmtId="9" fontId="15" fillId="0" borderId="0"/>
    <xf numFmtId="0" fontId="21" fillId="0" borderId="0" applyAlignment="1">
      <alignment vertical="top"/>
    </xf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43" fontId="24" fillId="0" borderId="0"/>
    <xf numFmtId="0" fontId="25" fillId="0" borderId="0"/>
  </cellStyleXfs>
  <cellXfs count="286">
    <xf numFmtId="0" fontId="0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1" xfId="1">
      <alignment horizontal="right"/>
    </xf>
    <xf numFmtId="0" fontId="7" fillId="0" borderId="4" pivotButton="0" quotePrefix="0" xfId="0"/>
    <xf numFmtId="0" fontId="2" fillId="0" borderId="0" pivotButton="0" quotePrefix="0" xfId="1"/>
    <xf numFmtId="0" fontId="4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2" applyAlignment="1" pivotButton="0" quotePrefix="0" xfId="1">
      <alignment vertical="center"/>
    </xf>
    <xf numFmtId="0" fontId="4" fillId="0" borderId="16" pivotButton="0" quotePrefix="0" xfId="0"/>
    <xf numFmtId="0" fontId="3" fillId="0" borderId="22" applyAlignment="1" pivotButton="0" quotePrefix="0" xfId="1">
      <alignment horizontal="center" vertical="center" wrapText="1"/>
    </xf>
    <xf numFmtId="0" fontId="3" fillId="0" borderId="24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center" wrapText="1"/>
    </xf>
    <xf numFmtId="0" fontId="11" fillId="3" borderId="28" applyAlignment="1" pivotButton="0" quotePrefix="0" xfId="1">
      <alignment vertical="center"/>
    </xf>
    <xf numFmtId="0" fontId="11" fillId="3" borderId="28" applyAlignment="1" pivotButton="0" quotePrefix="0" xfId="1">
      <alignment horizontal="left" vertical="center"/>
    </xf>
    <xf numFmtId="0" fontId="3" fillId="0" borderId="24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0" fontId="4" fillId="4" borderId="37" applyAlignment="1" pivotButton="0" quotePrefix="0" xfId="0">
      <alignment horizontal="left" vertical="center" wrapText="1"/>
    </xf>
    <xf numFmtId="43" fontId="4" fillId="4" borderId="37" applyAlignment="1" pivotButton="0" quotePrefix="0" xfId="1">
      <alignment vertical="center" wrapText="1"/>
    </xf>
    <xf numFmtId="0" fontId="6" fillId="2" borderId="39" applyAlignment="1" pivotButton="0" quotePrefix="0" xfId="1">
      <alignment horizontal="center" vertical="center"/>
    </xf>
    <xf numFmtId="0" fontId="27" fillId="4" borderId="37" applyAlignment="1" pivotButton="0" quotePrefix="0" xfId="0">
      <alignment horizontal="center" vertical="center"/>
    </xf>
    <xf numFmtId="164" fontId="4" fillId="4" borderId="37" applyAlignment="1" pivotButton="0" quotePrefix="0" xfId="1">
      <alignment horizontal="center" vertical="center"/>
    </xf>
    <xf numFmtId="43" fontId="13" fillId="4" borderId="37" applyAlignment="1" pivotButton="0" quotePrefix="0" xfId="1">
      <alignment horizontal="center" vertical="center" wrapText="1"/>
    </xf>
    <xf numFmtId="0" fontId="4" fillId="0" borderId="21" applyAlignment="1" pivotButton="0" quotePrefix="0" xfId="0">
      <alignment vertical="center"/>
    </xf>
    <xf numFmtId="0" fontId="4" fillId="0" borderId="39" applyAlignment="1" pivotButton="0" quotePrefix="0" xfId="1">
      <alignment vertical="center"/>
    </xf>
    <xf numFmtId="0" fontId="4" fillId="0" borderId="24" pivotButton="0" quotePrefix="0" xfId="0"/>
    <xf numFmtId="0" fontId="4" fillId="0" borderId="23" applyAlignment="1" pivotButton="0" quotePrefix="0" xfId="0">
      <alignment horizontal="center" vertical="center" wrapText="1"/>
    </xf>
    <xf numFmtId="0" fontId="6" fillId="2" borderId="38" applyAlignment="1" pivotButton="0" quotePrefix="0" xfId="1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4" fillId="0" borderId="9" applyAlignment="1" pivotButton="0" quotePrefix="0" xfId="1">
      <alignment vertical="center"/>
    </xf>
    <xf numFmtId="0" fontId="4" fillId="0" borderId="42" applyAlignment="1" pivotButton="0" quotePrefix="0" xfId="1">
      <alignment vertical="center"/>
    </xf>
    <xf numFmtId="0" fontId="4" fillId="0" borderId="3" pivotButton="0" quotePrefix="0" xfId="0"/>
    <xf numFmtId="0" fontId="4" fillId="0" borderId="0" pivotButton="0" quotePrefix="0" xfId="0"/>
    <xf numFmtId="0" fontId="4" fillId="0" borderId="30" pivotButton="0" quotePrefix="0" xfId="0"/>
    <xf numFmtId="0" fontId="4" fillId="0" borderId="0" applyAlignment="1" pivotButton="0" quotePrefix="0" xfId="0">
      <alignment horizontal="left"/>
    </xf>
    <xf numFmtId="0" fontId="3" fillId="0" borderId="30" applyAlignment="1" pivotButton="0" quotePrefix="1" xfId="1">
      <alignment horizontal="right"/>
    </xf>
    <xf numFmtId="0" fontId="7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2" fillId="0" borderId="3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164" fontId="4" fillId="4" borderId="1" applyAlignment="1" pivotButton="0" quotePrefix="0" xfId="1">
      <alignment horizontal="center" vertical="center"/>
    </xf>
    <xf numFmtId="43" fontId="13" fillId="4" borderId="3" applyAlignment="1" pivotButton="0" quotePrefix="0" xfId="1">
      <alignment horizontal="center" vertical="center" wrapText="1"/>
    </xf>
    <xf numFmtId="43" fontId="6" fillId="0" borderId="39" applyAlignment="1" pivotButton="0" quotePrefix="0" xfId="1">
      <alignment vertical="center"/>
    </xf>
    <xf numFmtId="43" fontId="5" fillId="0" borderId="21" applyAlignment="1" pivotButton="0" quotePrefix="0" xfId="1">
      <alignment vertical="center"/>
    </xf>
    <xf numFmtId="43" fontId="6" fillId="0" borderId="29" applyAlignment="1" pivotButton="0" quotePrefix="0" xfId="1">
      <alignment vertical="center"/>
    </xf>
    <xf numFmtId="43" fontId="5" fillId="0" borderId="13" applyAlignment="1" pivotButton="0" quotePrefix="0" xfId="1">
      <alignment vertical="center"/>
    </xf>
    <xf numFmtId="165" fontId="12" fillId="6" borderId="24" applyAlignment="1" pivotButton="0" quotePrefix="0" xfId="1">
      <alignment vertical="center"/>
    </xf>
    <xf numFmtId="165" fontId="12" fillId="6" borderId="23" applyAlignment="1" pivotButton="0" quotePrefix="0" xfId="1">
      <alignment vertical="center"/>
    </xf>
    <xf numFmtId="43" fontId="6" fillId="0" borderId="20" applyAlignment="1" pivotButton="0" quotePrefix="0" xfId="1">
      <alignment vertical="center"/>
    </xf>
    <xf numFmtId="43" fontId="5" fillId="0" borderId="14" applyAlignment="1" pivotButton="0" quotePrefix="0" xfId="1">
      <alignment vertical="center"/>
    </xf>
    <xf numFmtId="43" fontId="6" fillId="0" borderId="38" applyAlignment="1" pivotButton="0" quotePrefix="0" xfId="1">
      <alignment vertical="center"/>
    </xf>
    <xf numFmtId="43" fontId="5" fillId="0" borderId="40" applyAlignment="1" pivotButton="0" quotePrefix="0" xfId="1">
      <alignment vertical="center"/>
    </xf>
    <xf numFmtId="165" fontId="12" fillId="6" borderId="22" applyAlignment="1" pivotButton="0" quotePrefix="0" xfId="1">
      <alignment vertical="center"/>
    </xf>
    <xf numFmtId="166" fontId="12" fillId="6" borderId="24" applyAlignment="1" pivotButton="0" quotePrefix="0" xfId="1">
      <alignment horizontal="center" vertical="center"/>
    </xf>
    <xf numFmtId="0" fontId="29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 wrapText="1"/>
    </xf>
    <xf numFmtId="166" fontId="29" fillId="0" borderId="0" applyAlignment="1" pivotButton="0" quotePrefix="0" xfId="0">
      <alignment horizontal="center" vertical="center" wrapText="1"/>
    </xf>
    <xf numFmtId="167" fontId="29" fillId="0" borderId="0" applyAlignment="1" pivotButton="0" quotePrefix="0" xfId="0">
      <alignment horizontal="center" vertical="center" wrapText="1"/>
    </xf>
    <xf numFmtId="0" fontId="31" fillId="9" borderId="46" applyAlignment="1" pivotButton="0" quotePrefix="0" xfId="0">
      <alignment vertical="center" wrapText="1"/>
    </xf>
    <xf numFmtId="0" fontId="31" fillId="11" borderId="47" applyAlignment="1" pivotButton="0" quotePrefix="0" xfId="0">
      <alignment vertical="center" wrapText="1"/>
    </xf>
    <xf numFmtId="0" fontId="31" fillId="13" borderId="48" applyAlignment="1" pivotButton="0" quotePrefix="0" xfId="0">
      <alignment vertical="center" wrapText="1"/>
    </xf>
    <xf numFmtId="0" fontId="29" fillId="13" borderId="48" applyAlignment="1" pivotButton="0" quotePrefix="0" xfId="0">
      <alignment vertical="center" wrapText="1"/>
    </xf>
    <xf numFmtId="0" fontId="29" fillId="14" borderId="48" applyAlignment="1" pivotButton="0" quotePrefix="0" xfId="0">
      <alignment vertical="center" wrapText="1"/>
    </xf>
    <xf numFmtId="0" fontId="31" fillId="9" borderId="46" applyAlignment="1" pivotButton="0" quotePrefix="0" xfId="0">
      <alignment horizontal="center" vertical="center" wrapText="1"/>
    </xf>
    <xf numFmtId="0" fontId="29" fillId="0" borderId="46" applyAlignment="1" pivotButton="0" quotePrefix="0" xfId="0">
      <alignment horizontal="center" vertical="center" wrapText="1"/>
    </xf>
    <xf numFmtId="0" fontId="29" fillId="0" borderId="46" applyAlignment="1" pivotButton="0" quotePrefix="0" xfId="0">
      <alignment vertical="center" wrapText="1"/>
    </xf>
    <xf numFmtId="167" fontId="29" fillId="0" borderId="46" applyAlignment="1" pivotButton="0" quotePrefix="0" xfId="0">
      <alignment horizontal="center" vertical="center" wrapText="1"/>
    </xf>
    <xf numFmtId="166" fontId="29" fillId="0" borderId="46" applyAlignment="1" pivotButton="0" quotePrefix="0" xfId="0">
      <alignment horizontal="center" vertical="center" wrapText="1"/>
    </xf>
    <xf numFmtId="165" fontId="4" fillId="4" borderId="37" applyAlignment="1" pivotButton="0" quotePrefix="0" xfId="1">
      <alignment horizontal="center" vertical="center"/>
    </xf>
    <xf numFmtId="165" fontId="4" fillId="4" borderId="1" applyAlignment="1" pivotButton="0" quotePrefix="0" xfId="1">
      <alignment horizontal="center" vertical="center"/>
    </xf>
    <xf numFmtId="165" fontId="6" fillId="0" borderId="39" applyAlignment="1" pivotButton="0" quotePrefix="0" xfId="1">
      <alignment horizontal="center" vertical="center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166" fontId="32" fillId="0" borderId="0" applyAlignment="1" pivotButton="0" quotePrefix="0" xfId="0">
      <alignment horizontal="center" vertical="center" wrapText="1"/>
    </xf>
    <xf numFmtId="167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7" fontId="0" fillId="12" borderId="47" applyAlignment="1" pivotButton="0" quotePrefix="0" xfId="0">
      <alignment horizontal="center" vertical="center" wrapText="1"/>
    </xf>
    <xf numFmtId="0" fontId="0" fillId="12" borderId="47" applyAlignment="1" pivotButton="0" quotePrefix="0" xfId="0">
      <alignment horizontal="center" vertical="center" wrapText="1"/>
    </xf>
    <xf numFmtId="0" fontId="0" fillId="16" borderId="46" applyAlignment="1" pivotButton="0" quotePrefix="0" xfId="0">
      <alignment horizontal="left" vertical="center" wrapText="1"/>
    </xf>
    <xf numFmtId="0" fontId="31" fillId="16" borderId="46" applyAlignment="1" pivotButton="0" quotePrefix="0" xfId="0">
      <alignment vertical="center" wrapText="1"/>
    </xf>
    <xf numFmtId="167" fontId="0" fillId="16" borderId="46" applyAlignment="1" pivotButton="0" quotePrefix="0" xfId="0">
      <alignment horizontal="left" vertical="center" wrapText="1"/>
    </xf>
    <xf numFmtId="167" fontId="29" fillId="16" borderId="46" applyAlignment="1" pivotButton="0" quotePrefix="0" xfId="0">
      <alignment vertical="center" wrapText="1"/>
    </xf>
    <xf numFmtId="0" fontId="29" fillId="16" borderId="46" applyAlignment="1" pivotButton="0" quotePrefix="0" xfId="0">
      <alignment vertical="center" wrapText="1"/>
    </xf>
    <xf numFmtId="0" fontId="30" fillId="15" borderId="49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left" vertical="center" wrapText="1"/>
    </xf>
    <xf numFmtId="0" fontId="30" fillId="15" borderId="0" applyAlignment="1" pivotButton="0" quotePrefix="0" xfId="0">
      <alignment horizontal="left" vertical="center" wrapText="1"/>
    </xf>
    <xf numFmtId="0" fontId="30" fillId="15" borderId="0" applyAlignment="1" pivotButton="0" quotePrefix="0" xfId="0">
      <alignment vertical="center" wrapText="1"/>
    </xf>
    <xf numFmtId="0" fontId="30" fillId="8" borderId="0" applyAlignment="1" pivotButton="0" quotePrefix="0" xfId="0">
      <alignment vertical="center" wrapText="1"/>
    </xf>
    <xf numFmtId="0" fontId="29" fillId="10" borderId="46" applyAlignment="1" pivotButton="0" quotePrefix="0" xfId="0">
      <alignment vertical="center" wrapText="1"/>
    </xf>
    <xf numFmtId="0" fontId="29" fillId="10" borderId="45" applyAlignment="1" pivotButton="0" quotePrefix="0" xfId="0">
      <alignment vertical="center" wrapText="1"/>
    </xf>
    <xf numFmtId="0" fontId="11" fillId="3" borderId="11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3" fillId="0" borderId="40" applyAlignment="1" pivotButton="0" quotePrefix="0" xfId="1">
      <alignment horizontal="left" vertical="center" wrapText="1"/>
    </xf>
    <xf numFmtId="0" fontId="4" fillId="0" borderId="21" applyAlignment="1" pivotButton="0" quotePrefix="0" xfId="1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3" fillId="3" borderId="31" applyAlignment="1" pivotButton="0" quotePrefix="0" xfId="0">
      <alignment horizontal="center" vertical="center" wrapText="1"/>
    </xf>
    <xf numFmtId="0" fontId="13" fillId="3" borderId="35" applyAlignment="1" pivotButton="0" quotePrefix="0" xfId="0">
      <alignment horizontal="center" vertical="center" wrapText="1"/>
    </xf>
    <xf numFmtId="168" fontId="6" fillId="7" borderId="34" applyAlignment="1" pivotButton="0" quotePrefix="0" xfId="1">
      <alignment horizontal="center" vertical="center"/>
    </xf>
    <xf numFmtId="0" fontId="12" fillId="3" borderId="21" applyAlignment="1" pivotButton="0" quotePrefix="0" xfId="1">
      <alignment horizontal="center" vertical="center"/>
    </xf>
    <xf numFmtId="0" fontId="3" fillId="0" borderId="4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3" fillId="0" borderId="4" applyAlignment="1" pivotButton="0" quotePrefix="0" xfId="1">
      <alignment horizontal="left" wrapText="1"/>
    </xf>
    <xf numFmtId="0" fontId="11" fillId="3" borderId="28" applyAlignment="1" pivotButton="0" quotePrefix="0" xfId="1">
      <alignment horizontal="left" vertical="center" wrapText="1"/>
    </xf>
    <xf numFmtId="0" fontId="11" fillId="3" borderId="28" applyAlignment="1" pivotButton="0" quotePrefix="1" xfId="1">
      <alignment horizontal="left" vertical="center" wrapText="1"/>
    </xf>
    <xf numFmtId="0" fontId="3" fillId="2" borderId="38" applyAlignment="1" pivotButton="0" quotePrefix="0" xfId="1">
      <alignment horizontal="left" vertical="center"/>
    </xf>
    <xf numFmtId="0" fontId="3" fillId="2" borderId="39" applyAlignment="1" pivotButton="0" quotePrefix="0" xfId="1">
      <alignment horizontal="left" vertical="center"/>
    </xf>
    <xf numFmtId="0" fontId="3" fillId="2" borderId="20" applyAlignment="1" pivotButton="0" quotePrefix="0" xfId="1">
      <alignment horizontal="left" vertical="center"/>
    </xf>
    <xf numFmtId="0" fontId="3" fillId="0" borderId="17" applyAlignment="1" pivotButton="0" quotePrefix="0" xfId="1">
      <alignment horizontal="center" vertical="center" wrapText="1"/>
    </xf>
    <xf numFmtId="0" fontId="3" fillId="0" borderId="13" applyAlignment="1" pivotButton="0" quotePrefix="0" xfId="1">
      <alignment horizontal="center" vertical="center" wrapText="1"/>
    </xf>
    <xf numFmtId="0" fontId="3" fillId="0" borderId="10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/>
    </xf>
    <xf numFmtId="0" fontId="10" fillId="0" borderId="30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left" vertical="center"/>
    </xf>
    <xf numFmtId="0" fontId="3" fillId="0" borderId="32" applyAlignment="1" pivotButton="0" quotePrefix="0" xfId="1">
      <alignment horizontal="left" vertical="center"/>
    </xf>
    <xf numFmtId="0" fontId="3" fillId="0" borderId="1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3" fillId="0" borderId="25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0" fontId="3" fillId="0" borderId="26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18" applyAlignment="1" pivotButton="0" quotePrefix="0" xfId="1">
      <alignment horizontal="center" vertical="center" wrapText="1"/>
    </xf>
    <xf numFmtId="0" fontId="3" fillId="0" borderId="27" applyAlignment="1" pivotButton="0" quotePrefix="0" xfId="1">
      <alignment horizontal="center" vertical="center" wrapText="1"/>
    </xf>
    <xf numFmtId="0" fontId="26" fillId="0" borderId="33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30" applyAlignment="1" pivotButton="0" quotePrefix="0" xfId="0">
      <alignment horizontal="center" vertical="center"/>
    </xf>
    <xf numFmtId="0" fontId="12" fillId="3" borderId="35" applyAlignment="1" pivotButton="0" quotePrefix="0" xfId="0">
      <alignment horizontal="center" vertical="center" wrapText="1"/>
    </xf>
    <xf numFmtId="0" fontId="13" fillId="3" borderId="24" applyAlignment="1" pivotButton="0" quotePrefix="0" xfId="2">
      <alignment horizontal="center" vertical="center" wrapText="1"/>
    </xf>
    <xf numFmtId="0" fontId="13" fillId="3" borderId="23" applyAlignment="1" pivotButton="0" quotePrefix="0" xfId="2">
      <alignment horizontal="center" vertical="center" wrapText="1"/>
    </xf>
    <xf numFmtId="0" fontId="3" fillId="0" borderId="34" applyAlignment="1" pivotButton="0" quotePrefix="1" xfId="1">
      <alignment horizontal="left" vertical="center"/>
    </xf>
    <xf numFmtId="0" fontId="4" fillId="0" borderId="22" applyAlignment="1" pivotButton="0" quotePrefix="0" xfId="1">
      <alignment horizontal="left" vertical="center"/>
    </xf>
    <xf numFmtId="0" fontId="4" fillId="0" borderId="24" applyAlignment="1" pivotButton="0" quotePrefix="0" xfId="1">
      <alignment horizontal="left" vertical="center"/>
    </xf>
    <xf numFmtId="0" fontId="4" fillId="0" borderId="23" applyAlignment="1" pivotButton="0" quotePrefix="0" xfId="1">
      <alignment horizontal="left" vertical="center"/>
    </xf>
    <xf numFmtId="0" fontId="12" fillId="3" borderId="36" applyAlignment="1" pivotButton="0" quotePrefix="0" xfId="0">
      <alignment horizontal="center" vertical="center" wrapText="1"/>
    </xf>
    <xf numFmtId="0" fontId="12" fillId="3" borderId="14" applyAlignment="1" pivotButton="0" quotePrefix="0" xfId="1">
      <alignment horizontal="center" vertical="center"/>
    </xf>
    <xf numFmtId="0" fontId="4" fillId="0" borderId="22" applyAlignment="1" pivotButton="0" quotePrefix="0" xfId="1">
      <alignment horizontal="left" vertical="center" wrapText="1"/>
    </xf>
    <xf numFmtId="0" fontId="4" fillId="0" borderId="41" applyAlignment="1" pivotButton="0" quotePrefix="0" xfId="1">
      <alignment horizontal="left" vertical="center" wrapText="1"/>
    </xf>
    <xf numFmtId="0" fontId="4" fillId="0" borderId="35" applyAlignment="1" pivotButton="0" quotePrefix="0" xfId="1">
      <alignment horizontal="left" vertical="center"/>
    </xf>
    <xf numFmtId="0" fontId="13" fillId="3" borderId="24" applyAlignment="1" pivotButton="0" quotePrefix="0" xfId="2">
      <alignment horizontal="center" vertical="top" wrapText="1"/>
    </xf>
    <xf numFmtId="0" fontId="3" fillId="5" borderId="6" applyAlignment="1" pivotButton="0" quotePrefix="0" xfId="1">
      <alignment horizontal="center" vertical="center"/>
    </xf>
    <xf numFmtId="0" fontId="3" fillId="5" borderId="7" applyAlignment="1" pivotButton="0" quotePrefix="0" xfId="1">
      <alignment horizontal="center" vertical="center"/>
    </xf>
    <xf numFmtId="0" fontId="3" fillId="5" borderId="8" applyAlignment="1" pivotButton="0" quotePrefix="0" xfId="1">
      <alignment horizontal="center" vertical="center"/>
    </xf>
    <xf numFmtId="3" fontId="3" fillId="3" borderId="1" applyAlignment="1" pivotButton="0" quotePrefix="0" xfId="0">
      <alignment horizontal="center" vertical="center" wrapText="1"/>
    </xf>
    <xf numFmtId="0" fontId="4" fillId="0" borderId="40" applyAlignment="1" pivotButton="0" quotePrefix="0" xfId="1">
      <alignment horizontal="left" vertical="center"/>
    </xf>
    <xf numFmtId="0" fontId="4" fillId="0" borderId="14" applyAlignment="1" pivotButton="0" quotePrefix="0" xfId="1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2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26" applyAlignment="1" pivotButton="0" quotePrefix="0" xfId="1">
      <alignment horizontal="center" vertical="center"/>
    </xf>
    <xf numFmtId="0" fontId="4" fillId="0" borderId="42" applyAlignment="1" pivotButton="0" quotePrefix="0" xfId="1">
      <alignment horizontal="center" vertical="center"/>
    </xf>
    <xf numFmtId="0" fontId="4" fillId="0" borderId="43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8" fillId="0" borderId="34" applyAlignment="1" pivotButton="0" quotePrefix="0" xfId="1">
      <alignment horizontal="right" vertical="center"/>
    </xf>
    <xf numFmtId="0" fontId="4" fillId="0" borderId="38" applyAlignment="1" pivotButton="0" quotePrefix="0" xfId="1">
      <alignment horizontal="center" vertical="center"/>
    </xf>
    <xf numFmtId="0" fontId="4" fillId="0" borderId="40" applyAlignment="1" pivotButton="0" quotePrefix="0" xfId="1">
      <alignment horizontal="center" vertical="center"/>
    </xf>
    <xf numFmtId="0" fontId="4" fillId="0" borderId="22" applyAlignment="1" pivotButton="0" quotePrefix="0" xfId="1">
      <alignment horizontal="center" vertical="center"/>
    </xf>
    <xf numFmtId="0" fontId="3" fillId="6" borderId="1" applyAlignment="1" pivotButton="0" quotePrefix="1" xfId="1">
      <alignment horizontal="center" vertical="center"/>
    </xf>
    <xf numFmtId="0" fontId="3" fillId="6" borderId="2" applyAlignment="1" pivotButton="0" quotePrefix="1" xfId="1">
      <alignment horizontal="center" vertical="center"/>
    </xf>
    <xf numFmtId="0" fontId="3" fillId="6" borderId="3" applyAlignment="1" pivotButton="0" quotePrefix="1" xfId="1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3" fillId="5" borderId="6" applyAlignment="1" pivotButton="0" quotePrefix="0" xfId="1">
      <alignment horizontal="left" vertical="center"/>
    </xf>
    <xf numFmtId="0" fontId="3" fillId="5" borderId="7" applyAlignment="1" pivotButton="0" quotePrefix="0" xfId="1">
      <alignment horizontal="left" vertical="center"/>
    </xf>
    <xf numFmtId="0" fontId="3" fillId="5" borderId="8" applyAlignment="1" pivotButton="0" quotePrefix="0" xfId="1">
      <alignment horizontal="left" vertical="center"/>
    </xf>
    <xf numFmtId="0" fontId="26" fillId="0" borderId="6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68" applyAlignment="1" pivotButton="0" quotePrefix="0" xfId="1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4" pivotButton="0" quotePrefix="0" xfId="0"/>
    <xf numFmtId="0" fontId="0" fillId="0" borderId="63" pivotButton="0" quotePrefix="0" xfId="0"/>
    <xf numFmtId="0" fontId="3" fillId="0" borderId="38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25" pivotButton="0" quotePrefix="0" xfId="0"/>
    <xf numFmtId="0" fontId="3" fillId="0" borderId="67" applyAlignment="1" pivotButton="0" quotePrefix="0" xfId="1">
      <alignment horizontal="center" vertical="center" wrapText="1"/>
    </xf>
    <xf numFmtId="0" fontId="0" fillId="0" borderId="3" pivotButton="0" quotePrefix="0" xfId="0"/>
    <xf numFmtId="0" fontId="3" fillId="3" borderId="59" applyAlignment="1" pivotButton="0" quotePrefix="0" xfId="0">
      <alignment horizontal="center" vertical="center" wrapText="1"/>
    </xf>
    <xf numFmtId="3" fontId="3" fillId="3" borderId="59" applyAlignment="1" pivotButton="0" quotePrefix="0" xfId="0">
      <alignment horizontal="center" vertical="center" wrapText="1"/>
    </xf>
    <xf numFmtId="0" fontId="0" fillId="0" borderId="26" pivotButton="0" quotePrefix="0" xfId="0"/>
    <xf numFmtId="0" fontId="10" fillId="0" borderId="66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31" pivotButton="0" quotePrefix="0" xfId="0"/>
    <xf numFmtId="0" fontId="3" fillId="0" borderId="36" applyAlignment="1" pivotButton="0" quotePrefix="0" xfId="1">
      <alignment horizontal="center" vertical="center" wrapText="1"/>
    </xf>
    <xf numFmtId="0" fontId="11" fillId="3" borderId="6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3" fillId="0" borderId="14" applyAlignment="1" pivotButton="0" quotePrefix="0" xfId="1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43" fontId="4" fillId="4" borderId="37" applyAlignment="1" pivotButton="0" quotePrefix="0" xfId="1">
      <alignment vertical="center" wrapText="1"/>
    </xf>
    <xf numFmtId="164" fontId="4" fillId="4" borderId="37" applyAlignment="1" pivotButton="0" quotePrefix="0" xfId="1">
      <alignment horizontal="center" vertical="center"/>
    </xf>
    <xf numFmtId="43" fontId="13" fillId="4" borderId="37" applyAlignment="1" pivotButton="0" quotePrefix="0" xfId="1">
      <alignment horizontal="center" vertical="center" wrapText="1"/>
    </xf>
    <xf numFmtId="165" fontId="4" fillId="4" borderId="37" applyAlignment="1" pivotButton="0" quotePrefix="0" xfId="1">
      <alignment horizontal="center" vertical="center"/>
    </xf>
    <xf numFmtId="164" fontId="4" fillId="4" borderId="1" applyAlignment="1" pivotButton="0" quotePrefix="0" xfId="1">
      <alignment horizontal="center" vertical="center"/>
    </xf>
    <xf numFmtId="43" fontId="13" fillId="4" borderId="3" applyAlignment="1" pivotButton="0" quotePrefix="0" xfId="1">
      <alignment horizontal="center" vertical="center" wrapText="1"/>
    </xf>
    <xf numFmtId="165" fontId="4" fillId="4" borderId="1" applyAlignment="1" pivotButton="0" quotePrefix="0" xfId="1">
      <alignment horizontal="center" vertical="center"/>
    </xf>
    <xf numFmtId="0" fontId="0" fillId="0" borderId="64" pivotButton="0" quotePrefix="0" xfId="0"/>
    <xf numFmtId="0" fontId="0" fillId="0" borderId="65" pivotButton="0" quotePrefix="0" xfId="0"/>
    <xf numFmtId="43" fontId="6" fillId="0" borderId="39" applyAlignment="1" pivotButton="0" quotePrefix="0" xfId="1">
      <alignment vertical="center"/>
    </xf>
    <xf numFmtId="165" fontId="6" fillId="0" borderId="39" applyAlignment="1" pivotButton="0" quotePrefix="0" xfId="1">
      <alignment horizontal="center" vertical="center"/>
    </xf>
    <xf numFmtId="43" fontId="6" fillId="0" borderId="29" applyAlignment="1" pivotButton="0" quotePrefix="0" xfId="1">
      <alignment vertical="center"/>
    </xf>
    <xf numFmtId="43" fontId="6" fillId="0" borderId="38" applyAlignment="1" pivotButton="0" quotePrefix="0" xfId="1">
      <alignment vertical="center"/>
    </xf>
    <xf numFmtId="43" fontId="6" fillId="0" borderId="20" applyAlignment="1" pivotButton="0" quotePrefix="0" xfId="1">
      <alignment vertical="center"/>
    </xf>
    <xf numFmtId="0" fontId="0" fillId="0" borderId="52" pivotButton="0" quotePrefix="0" xfId="0"/>
    <xf numFmtId="43" fontId="5" fillId="0" borderId="21" applyAlignment="1" pivotButton="0" quotePrefix="0" xfId="1">
      <alignment vertical="center"/>
    </xf>
    <xf numFmtId="43" fontId="5" fillId="0" borderId="13" applyAlignment="1" pivotButton="0" quotePrefix="0" xfId="1">
      <alignment vertical="center"/>
    </xf>
    <xf numFmtId="43" fontId="5" fillId="0" borderId="40" applyAlignment="1" pivotButton="0" quotePrefix="0" xfId="1">
      <alignment vertical="center"/>
    </xf>
    <xf numFmtId="43" fontId="5" fillId="0" borderId="14" applyAlignment="1" pivotButton="0" quotePrefix="0" xfId="1">
      <alignment vertical="center"/>
    </xf>
    <xf numFmtId="0" fontId="0" fillId="0" borderId="53" pivotButton="0" quotePrefix="0" xfId="0"/>
    <xf numFmtId="0" fontId="0" fillId="0" borderId="54" pivotButton="0" quotePrefix="0" xfId="0"/>
    <xf numFmtId="165" fontId="12" fillId="6" borderId="24" applyAlignment="1" pivotButton="0" quotePrefix="0" xfId="1">
      <alignment vertical="center"/>
    </xf>
    <xf numFmtId="166" fontId="12" fillId="6" borderId="24" applyAlignment="1" pivotButton="0" quotePrefix="0" xfId="1">
      <alignment horizontal="center" vertical="center"/>
    </xf>
    <xf numFmtId="165" fontId="12" fillId="6" borderId="23" applyAlignment="1" pivotButton="0" quotePrefix="0" xfId="1">
      <alignment vertical="center"/>
    </xf>
    <xf numFmtId="165" fontId="12" fillId="6" borderId="22" applyAlignment="1" pivotButton="0" quotePrefix="0" xfId="1">
      <alignment vertical="center"/>
    </xf>
    <xf numFmtId="0" fontId="0" fillId="0" borderId="7" pivotButton="0" quotePrefix="0" xfId="0"/>
    <xf numFmtId="0" fontId="0" fillId="0" borderId="8" pivotButton="0" quotePrefix="0" xfId="0"/>
    <xf numFmtId="168" fontId="6" fillId="7" borderId="34" applyAlignment="1" pivotButton="0" quotePrefix="0" xfId="1">
      <alignment horizontal="center" vertical="center"/>
    </xf>
    <xf numFmtId="0" fontId="3" fillId="6" borderId="37" applyAlignment="1" pivotButton="0" quotePrefix="1" xfId="1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3" fillId="5" borderId="34" applyAlignment="1" pivotButton="0" quotePrefix="0" xfId="1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3" fillId="5" borderId="34" applyAlignment="1" pivotButton="0" quotePrefix="0" xfId="1">
      <alignment horizontal="left" vertical="center"/>
    </xf>
    <xf numFmtId="0" fontId="0" fillId="0" borderId="57" applyAlignment="1" pivotButton="0" quotePrefix="0" xfId="0">
      <alignment horizontal="center"/>
    </xf>
    <xf numFmtId="0" fontId="4" fillId="0" borderId="56" applyAlignment="1" pivotButton="0" quotePrefix="0" xfId="1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72" pivotButton="0" quotePrefix="0" xfId="0"/>
    <xf numFmtId="167" fontId="0" fillId="12" borderId="47" applyAlignment="1" pivotButton="0" quotePrefix="0" xfId="0">
      <alignment horizontal="center" vertical="center" wrapText="1"/>
    </xf>
    <xf numFmtId="166" fontId="29" fillId="0" borderId="0" applyAlignment="1" pivotButton="0" quotePrefix="0" xfId="0">
      <alignment horizontal="center" vertical="center" wrapText="1"/>
    </xf>
    <xf numFmtId="167" fontId="29" fillId="0" borderId="0" applyAlignment="1" pivotButton="0" quotePrefix="0" xfId="0">
      <alignment horizontal="center" vertical="center" wrapText="1"/>
    </xf>
    <xf numFmtId="166" fontId="32" fillId="0" borderId="0" applyAlignment="1" pivotButton="0" quotePrefix="0" xfId="0">
      <alignment horizontal="center" vertical="center" wrapText="1"/>
    </xf>
    <xf numFmtId="167" fontId="32" fillId="0" borderId="0" applyAlignment="1" pivotButton="0" quotePrefix="0" xfId="0">
      <alignment horizontal="center" vertical="center" wrapText="1"/>
    </xf>
    <xf numFmtId="0" fontId="0" fillId="0" borderId="73" pivotButton="0" quotePrefix="0" xfId="0"/>
    <xf numFmtId="167" fontId="0" fillId="16" borderId="46" applyAlignment="1" pivotButton="0" quotePrefix="0" xfId="0">
      <alignment horizontal="left" vertical="center" wrapText="1"/>
    </xf>
    <xf numFmtId="0" fontId="0" fillId="0" borderId="49" pivotButton="0" quotePrefix="0" xfId="0"/>
    <xf numFmtId="167" fontId="29" fillId="0" borderId="46" applyAlignment="1" pivotButton="0" quotePrefix="0" xfId="0">
      <alignment horizontal="center" vertical="center" wrapText="1"/>
    </xf>
    <xf numFmtId="166" fontId="29" fillId="0" borderId="46" applyAlignment="1" pivotButton="0" quotePrefix="0" xfId="0">
      <alignment horizontal="center" vertical="center" wrapText="1"/>
    </xf>
  </cellXfs>
  <cellStyles count="22">
    <cellStyle name="Обычный" xfId="0" builtinId="0"/>
    <cellStyle name="Финансовый" xfId="1" builtinId="3"/>
    <cellStyle name="Денежный" xfId="2" builtinId="4"/>
    <cellStyle name="Normal 2 2" xfId="3"/>
    <cellStyle name="Обычный 2" xfId="4"/>
    <cellStyle name="Normal 2" xfId="5"/>
    <cellStyle name="Normal 3" xfId="6"/>
    <cellStyle name="Hyperlink 2" xfId="7"/>
    <cellStyle name="Normal 4" xfId="8"/>
    <cellStyle name="Hyperlink 3" xfId="9"/>
    <cellStyle name="Binlik Ayracı 2" xfId="10"/>
    <cellStyle name="Virgül 2" xfId="11"/>
    <cellStyle name="Yüzde 2" xfId="12"/>
    <cellStyle name="Yüzde 3" xfId="13"/>
    <cellStyle name="Normal 5" xfId="14"/>
    <cellStyle name="Normal 7" xfId="15"/>
    <cellStyle name="Normal 6" xfId="16"/>
    <cellStyle name="Stil 1" xfId="17"/>
    <cellStyle name="Normal 8" xfId="18"/>
    <cellStyle name="Normal 9" xfId="19"/>
    <cellStyle name="Comma 2" xfId="20"/>
    <cellStyle name="Обычный 3" xfId="21"/>
  </cellStyles>
  <dxfs count="20"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170" formatCode="0.0%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center" wrapText="1"/>
    </dxf>
    <dxf>
      <font>
        <b val="1"/>
        <color rgb="FF006100"/>
      </font>
      <fill>
        <patternFill patternType="solid">
          <fgColor indexed="64"/>
          <bgColor rgb="FFE2F0D9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7F7F7F"/>
      </font>
      <fill>
        <patternFill patternType="solid">
          <fgColor indexed="64"/>
          <bgColor rgb="FFF2F2F2"/>
        </patternFill>
      </fill>
    </dxf>
    <dxf>
      <font>
        <b val="1"/>
        <color rgb="FF006100"/>
      </font>
      <fill>
        <patternFill patternType="solid">
          <fgColor indexed="64"/>
          <bgColor rgb="FFE2F0D9"/>
        </patternFill>
      </fill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171" formatCode="#,##0\ [$₸-43F];[Red]\-#,##0\ [$₸-43F]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170" formatCode="0.0%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171" formatCode="#,##0\ [$₸-43F];[Red]\-#,##0\ [$₸-43F]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170" formatCode="0.0%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 wrapText="1"/>
    </dxf>
    <dxf>
      <font>
        <name val="Aptos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iceComparisonSummary" displayName="PriceComparisonSummary" ref="A8:N15" headerRowCount="1" totalsRowShown="0" headerRowDxfId="19" dataDxfId="18">
  <autoFilter ref="A8:N15"/>
  <tableColumns count="14">
    <tableColumn id="1" name="No." dataDxfId="17"/>
    <tableColumn id="2" name="Vendor" dataDxfId="3">
      <calculatedColumnFormula array="1">IF(INDEX(Sheet1!$G$9:$AA$9,1,1+($A9-1)*3)&lt;&gt;"",INDEX(Sheet1!$G$9:$AA$9,1,1+($A9-1)*3),"Not provided")</calculatedColumnFormula>
    </tableColumn>
    <tableColumn id="3" name="Offer No." dataDxfId="16">
      <calculatedColumnFormula array="1">IF(INDEX(Sheet1!$G$11:$AA$11,1,1+($A9-1)*3)="","",INDEX(Sheet1!$G$11:$AA$11,1,1+($A9-1)*3))</calculatedColumnFormula>
    </tableColumn>
    <tableColumn id="4" name="Currency / Rate" dataDxfId="15">
      <calculatedColumnFormula array="1">IF(INDEX(Sheet1!$G$9:$AA$9,1,1+($A9-1)*3)="","",IF(INDEX(Sheet1!$G$12:$AA$12,1,1+($A9-1)*3)="","KZT",INDEX(Sheet1!$G$12:$AA$12,1,1+($A9-1)*3)))</calculatedColumnFormula>
    </tableColumn>
    <tableColumn id="5" name="Priced Items" dataDxfId="14">
      <calculatedColumnFormula array="1">IF(INDEX(Sheet1!$G$9:$AA$9,1,1+($A9-1)*3)="","",COUNTIF(INDEX(Sheet1!$H$14:$AA$23,0,1+($A9-1)*3),"&gt;0"))</calculatedColumnFormula>
    </tableColumn>
    <tableColumn id="6" name="Coverage" dataDxfId="13">
      <calculatedColumnFormula>IF(E9="","",E9/ROWS(Sheet1!$H$14:$H$23))</calculatedColumnFormula>
    </tableColumn>
    <tableColumn id="7" name="Amount excl. VAT" dataDxfId="12">
      <calculatedColumnFormula array="1">IF(INDEX(Sheet1!$G$9:$AA$9,1,1+($A9-1)*3)="","",INDEX(Sheet1!$H$24:$AA$24,1,1+($A9-1)*3))</calculatedColumnFormula>
    </tableColumn>
    <tableColumn id="8" name="VAT" dataDxfId="11">
      <calculatedColumnFormula array="1">IF(INDEX(Sheet1!$G$9:$AA$9,1,1+($A9-1)*3)="","",INDEX(Sheet1!$H$26:$AA$26,1,1+($A9-1)*3))</calculatedColumnFormula>
    </tableColumn>
    <tableColumn id="9" name="Total incl. VAT" dataDxfId="10">
      <calculatedColumnFormula array="1">IF(INDEX(Sheet1!$G$9:$AA$9,1,1+($A9-1)*3)="","",INDEX(Sheet1!$G$27:$AA$27,1,1+($A9-1)*3))</calculatedColumnFormula>
    </tableColumn>
    <tableColumn id="10" name="Variance vs. Min" dataDxfId="2">
      <calculatedColumnFormula>IF(OR(N9="Not provided",N9="No prices"),"",IFERROR(I9/$E$3-1,""))</calculatedColumnFormula>
    </tableColumn>
    <tableColumn id="11" name="Rank" dataDxfId="1">
      <calculatedColumnFormula>IF(OR(N9="Not provided",N9="No prices"),"",IFERROR(COUNTIFS($I$9:$I$15,"&gt;0",$I$9:$I$15,"&lt;"&amp;I9)+1,""))</calculatedColumnFormula>
    </tableColumn>
    <tableColumn id="12" name="Payment Terms" dataDxfId="9">
      <calculatedColumnFormula array="1">IF(INDEX(Sheet1!$G$29:$AA$29,1,1+($A9-1)*3)="","",INDEX(Sheet1!$G$29:$AA$29,1,1+($A9-1)*3))</calculatedColumnFormula>
    </tableColumn>
    <tableColumn id="13" name="Remarks" dataDxfId="8">
      <calculatedColumnFormula array="1">IF(INDEX(Sheet1!$G$35:$AA$35,1,1+($A9-1)*3)="","",INDEX(Sheet1!$G$35:$AA$35,1,1+($A9-1)*3))</calculatedColumnFormula>
    </tableColumn>
    <tableColumn id="14" name="Status" dataDxfId="0">
      <calculatedColumnFormula>IF(B9="Not provided","Not provided",IF(I9&lt;=0,"No prices",IF(F9&lt;1,"Incomplete bid","Ready")))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A45"/>
  <sheetViews>
    <sheetView zoomScale="55" zoomScaleNormal="55" zoomScaleSheetLayoutView="70" zoomScalePageLayoutView="70" workbookViewId="0">
      <pane xSplit="6" ySplit="12" topLeftCell="G13" activePane="bottomRight" state="frozen"/>
      <selection pane="topRight" activeCell="G1" sqref="G1"/>
      <selection pane="bottomLeft" activeCell="A14" sqref="A14"/>
      <selection pane="bottomRight" activeCell="G43" sqref="G43:H45"/>
    </sheetView>
  </sheetViews>
  <sheetFormatPr baseColWidth="8" defaultRowHeight="14.4"/>
  <cols>
    <col width="3.5546875" customWidth="1" min="1" max="1"/>
    <col width="29.5546875" customWidth="1" min="2" max="2"/>
    <col hidden="1" width="20.6640625" customWidth="1" min="3" max="3"/>
    <col width="52.33203125" customWidth="1" min="4" max="4"/>
    <col width="15.77734375" bestFit="1" customWidth="1" min="5" max="5"/>
    <col hidden="1" width="16" customWidth="1" min="6" max="6"/>
    <col width="16.109375" customWidth="1" min="7" max="7"/>
    <col width="20.21875" bestFit="1" customWidth="1" min="8" max="8"/>
    <col width="31.33203125" customWidth="1" min="9" max="9"/>
    <col width="17.33203125" customWidth="1" min="10" max="10"/>
    <col width="18.109375" customWidth="1" min="11" max="11"/>
    <col width="34.33203125" bestFit="1" customWidth="1" min="12" max="12"/>
    <col width="24.5546875" bestFit="1" customWidth="1" min="13" max="13"/>
    <col width="27.109375" bestFit="1" customWidth="1" min="14" max="14"/>
    <col width="26.44140625" bestFit="1" customWidth="1" min="15" max="15"/>
    <col width="16.109375" customWidth="1" min="16" max="16"/>
    <col width="20.5546875" bestFit="1" customWidth="1" min="17" max="17"/>
    <col width="31.33203125" customWidth="1" min="18" max="18"/>
    <col width="16.109375" customWidth="1" min="19" max="19"/>
    <col width="20.5546875" bestFit="1" customWidth="1" min="20" max="20"/>
    <col width="31.33203125" customWidth="1" min="21" max="21"/>
    <col width="16.109375" customWidth="1" min="22" max="22"/>
    <col width="18.109375" customWidth="1" min="23" max="23"/>
    <col width="31.33203125" customWidth="1" min="24" max="24"/>
    <col width="16.109375" customWidth="1" min="25" max="25"/>
    <col width="20.5546875" bestFit="1" customWidth="1" min="26" max="26"/>
    <col width="31.33203125" customWidth="1" min="27" max="27"/>
  </cols>
  <sheetData>
    <row r="1" ht="15" customHeight="1" thickBot="1"/>
    <row r="2" ht="16.2" customHeight="1">
      <c r="B2" s="1" t="n"/>
      <c r="C2" s="2" t="n"/>
      <c r="D2" s="2" t="n"/>
      <c r="E2" s="2" t="n"/>
      <c r="F2" s="2" t="n"/>
      <c r="G2" s="3" t="n"/>
      <c r="H2" s="3" t="n"/>
      <c r="I2" s="2" t="n"/>
      <c r="J2" s="3" t="n"/>
      <c r="K2" s="3" t="n"/>
      <c r="L2" s="2" t="n"/>
      <c r="M2" s="2" t="n"/>
      <c r="N2" s="2" t="n"/>
      <c r="O2" s="2" t="n"/>
      <c r="P2" s="3" t="n"/>
      <c r="Q2" s="3" t="n"/>
      <c r="R2" s="2" t="n"/>
      <c r="S2" s="3" t="n"/>
      <c r="T2" s="3" t="n"/>
      <c r="U2" s="2" t="n"/>
      <c r="V2" s="3" t="n"/>
      <c r="W2" s="3" t="n"/>
      <c r="X2" s="2" t="n"/>
      <c r="Y2" s="3" t="n"/>
      <c r="Z2" s="3" t="n"/>
      <c r="AA2" s="42" t="n"/>
    </row>
    <row r="3" ht="16.2" customHeight="1">
      <c r="B3" s="119" t="inlineStr">
        <is>
          <t>CLIENT</t>
        </is>
      </c>
      <c r="D3" s="15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</row>
    <row r="4" ht="16.2" customHeight="1">
      <c r="B4" s="119" t="inlineStr">
        <is>
          <t>PROJECT</t>
        </is>
      </c>
      <c r="D4" s="15" t="inlineStr">
        <is>
          <t>SRC / Western Camp</t>
        </is>
      </c>
      <c r="E4" s="45" t="n"/>
      <c r="F4" s="45" t="n"/>
      <c r="G4" s="43" t="n"/>
      <c r="H4" s="43" t="n"/>
      <c r="I4" s="4" t="n"/>
      <c r="J4" s="43" t="n"/>
      <c r="K4" s="43" t="n"/>
      <c r="L4" s="4" t="n"/>
      <c r="M4" s="4" t="n"/>
      <c r="N4" s="4" t="n"/>
      <c r="O4" s="4" t="n"/>
      <c r="P4" s="43" t="n"/>
      <c r="Q4" s="43" t="n"/>
      <c r="R4" s="4" t="n"/>
      <c r="S4" s="43" t="n"/>
      <c r="T4" s="43" t="n"/>
      <c r="U4" s="4" t="n"/>
      <c r="V4" s="43" t="n"/>
      <c r="W4" s="43" t="n"/>
      <c r="X4" s="4" t="n"/>
      <c r="Y4" s="43" t="n"/>
      <c r="Z4" s="43" t="n"/>
      <c r="AA4" s="46" t="n"/>
    </row>
    <row r="5" ht="36.6" customHeight="1">
      <c r="B5" s="121" t="inlineStr">
        <is>
          <t>SERVICE REQUISITION NO.</t>
        </is>
      </c>
      <c r="D5" s="16" t="n"/>
      <c r="E5" s="205" t="inlineStr">
        <is>
          <t>COMMERCIAL EVALUATION TABLE  - SUBCONTRACTING</t>
        </is>
      </c>
      <c r="AA5" s="206" t="n"/>
    </row>
    <row r="6" ht="21.6" customHeight="1">
      <c r="B6" s="207" t="inlineStr">
        <is>
          <t>ITEM</t>
        </is>
      </c>
      <c r="C6" s="208" t="n"/>
      <c r="D6" s="122" t="inlineStr">
        <is>
          <t>Training</t>
        </is>
      </c>
      <c r="E6" s="209" t="n"/>
      <c r="AA6" s="206" t="n"/>
    </row>
    <row r="7" ht="25.95" customHeight="1">
      <c r="B7" s="210" t="n"/>
      <c r="C7" s="208" t="n"/>
      <c r="D7" s="211" t="n"/>
      <c r="E7" s="209" t="n"/>
      <c r="AA7" s="206" t="n"/>
    </row>
    <row r="8" ht="15" customHeight="1" thickBot="1">
      <c r="B8" s="5" t="n"/>
      <c r="C8" s="47" t="n"/>
      <c r="D8" s="47" t="n"/>
      <c r="E8" s="48" t="n"/>
      <c r="F8" s="48" t="n"/>
      <c r="G8" s="6" t="n"/>
      <c r="H8" s="6" t="n"/>
      <c r="I8" s="49" t="n"/>
      <c r="J8" s="6" t="n"/>
      <c r="K8" s="6" t="n"/>
      <c r="L8" s="49" t="n"/>
      <c r="M8" s="49" t="n"/>
      <c r="N8" s="49" t="n"/>
      <c r="O8" s="49" t="n"/>
      <c r="P8" s="6" t="n"/>
      <c r="Q8" s="6" t="n"/>
      <c r="R8" s="49" t="n"/>
      <c r="S8" s="6" t="n"/>
      <c r="T8" s="6" t="n"/>
      <c r="U8" s="49" t="n"/>
      <c r="V8" s="6" t="n"/>
      <c r="W8" s="6" t="n"/>
      <c r="X8" s="49" t="n"/>
      <c r="Y8" s="6" t="n"/>
      <c r="Z8" s="6" t="n"/>
      <c r="AA8" s="50" t="n"/>
    </row>
    <row r="9" ht="16.2" customHeight="1">
      <c r="B9" s="212" t="inlineStr">
        <is>
          <t xml:space="preserve">
 </t>
        </is>
      </c>
      <c r="C9" s="213" t="n"/>
      <c r="D9" s="214" t="n"/>
      <c r="E9" s="215" t="inlineStr">
        <is>
          <t>VENDOR</t>
        </is>
      </c>
      <c r="F9" s="216" t="n"/>
      <c r="G9" s="217" t="inlineStr">
        <is>
          <t>KRTS LTD LLP</t>
        </is>
      </c>
      <c r="H9" s="213" t="n"/>
      <c r="I9" s="216" t="n"/>
      <c r="J9" s="217" t="inlineStr">
        <is>
          <t>RTG Tilmash LLP</t>
        </is>
      </c>
      <c r="K9" s="213" t="n"/>
      <c r="L9" s="216" t="n"/>
      <c r="M9" s="217" t="inlineStr">
        <is>
          <t>Apec Training Center LLP (offline)</t>
        </is>
      </c>
      <c r="N9" s="213" t="n"/>
      <c r="O9" s="216" t="n"/>
      <c r="P9" s="217" t="inlineStr">
        <is>
          <t>Intekko LLP</t>
        </is>
      </c>
      <c r="Q9" s="213" t="n"/>
      <c r="R9" s="216" t="n"/>
      <c r="S9" s="217" t="inlineStr">
        <is>
          <t>"KazProf" Specialized Training Center LLP</t>
        </is>
      </c>
      <c r="T9" s="213" t="n"/>
      <c r="U9" s="216" t="n"/>
      <c r="V9" s="217" t="inlineStr">
        <is>
          <t>SafeLine LLP</t>
        </is>
      </c>
      <c r="W9" s="213" t="n"/>
      <c r="X9" s="216" t="n"/>
      <c r="Y9" s="218" t="inlineStr">
        <is>
          <t>Baitau LLP</t>
        </is>
      </c>
      <c r="Z9" s="213" t="n"/>
      <c r="AA9" s="216" t="n"/>
    </row>
    <row r="10" ht="16.2" customHeight="1">
      <c r="B10" s="210" t="n"/>
      <c r="D10" s="219" t="n"/>
      <c r="E10" s="220" t="inlineStr">
        <is>
          <t>VENDOR</t>
        </is>
      </c>
      <c r="F10" s="206" t="n"/>
      <c r="G10" s="221" t="n"/>
      <c r="H10" s="222" t="n"/>
      <c r="I10" s="223" t="n"/>
      <c r="J10" s="221" t="n"/>
      <c r="K10" s="222" t="n"/>
      <c r="L10" s="223" t="n"/>
      <c r="M10" s="221" t="n"/>
      <c r="N10" s="222" t="n"/>
      <c r="O10" s="223" t="n"/>
      <c r="P10" s="221" t="n"/>
      <c r="Q10" s="222" t="n"/>
      <c r="R10" s="223" t="n"/>
      <c r="S10" s="221" t="n"/>
      <c r="T10" s="222" t="n"/>
      <c r="U10" s="223" t="n"/>
      <c r="V10" s="221" t="n"/>
      <c r="W10" s="222" t="n"/>
      <c r="X10" s="223" t="n"/>
      <c r="Y10" s="221" t="n"/>
      <c r="Z10" s="222" t="n"/>
      <c r="AA10" s="223" t="n"/>
    </row>
    <row r="11" ht="16.2" customHeight="1">
      <c r="B11" s="210" t="n"/>
      <c r="D11" s="219" t="n"/>
      <c r="E11" s="224" t="inlineStr">
        <is>
          <t>OFFER REF.</t>
        </is>
      </c>
      <c r="F11" s="223" t="n"/>
      <c r="G11" s="225" t="n">
        <v>1</v>
      </c>
      <c r="H11" s="226" t="n"/>
      <c r="I11" s="227" t="n"/>
      <c r="J11" s="225" t="n">
        <v>2</v>
      </c>
      <c r="K11" s="226" t="n"/>
      <c r="L11" s="227" t="n"/>
      <c r="M11" s="225" t="n">
        <v>3</v>
      </c>
      <c r="N11" s="226" t="n"/>
      <c r="O11" s="227" t="n"/>
      <c r="P11" s="225" t="n">
        <v>4</v>
      </c>
      <c r="Q11" s="226" t="n"/>
      <c r="R11" s="227" t="n"/>
      <c r="S11" s="225" t="n">
        <v>5</v>
      </c>
      <c r="T11" s="226" t="n"/>
      <c r="U11" s="227" t="n"/>
      <c r="V11" s="225" t="n">
        <v>6</v>
      </c>
      <c r="W11" s="226" t="n"/>
      <c r="X11" s="227" t="n"/>
      <c r="Y11" s="225" t="n">
        <v>7</v>
      </c>
      <c r="Z11" s="226" t="n"/>
      <c r="AA11" s="227" t="n"/>
    </row>
    <row r="12" ht="16.2" customHeight="1">
      <c r="B12" s="221" t="n"/>
      <c r="C12" s="222" t="n"/>
      <c r="D12" s="228" t="n"/>
      <c r="E12" s="229" t="inlineStr">
        <is>
          <t>CURRENCY / RATE</t>
        </is>
      </c>
      <c r="F12" s="227" t="n"/>
      <c r="G12" s="230" t="n"/>
      <c r="H12" s="226" t="n"/>
      <c r="I12" s="227" t="n"/>
      <c r="J12" s="230" t="n"/>
      <c r="K12" s="226" t="n"/>
      <c r="L12" s="227" t="n"/>
      <c r="M12" s="230" t="n"/>
      <c r="N12" s="226" t="n"/>
      <c r="O12" s="227" t="n"/>
      <c r="P12" s="230" t="n"/>
      <c r="Q12" s="226" t="n"/>
      <c r="R12" s="227" t="n"/>
      <c r="S12" s="230" t="n"/>
      <c r="T12" s="226" t="n"/>
      <c r="U12" s="227" t="n"/>
      <c r="V12" s="230" t="n"/>
      <c r="W12" s="226" t="n"/>
      <c r="X12" s="227" t="n"/>
      <c r="Y12" s="230" t="n"/>
      <c r="Z12" s="226" t="n"/>
      <c r="AA12" s="227" t="n"/>
    </row>
    <row r="13" ht="54" customHeight="1" thickBot="1">
      <c r="B13" s="12" t="inlineStr">
        <is>
          <t>S.NO</t>
        </is>
      </c>
      <c r="C13" s="17" t="inlineStr">
        <is>
          <t xml:space="preserve"> ACTVITIY NO./</t>
        </is>
      </c>
      <c r="D13" s="13" t="inlineStr">
        <is>
          <t>SERVICE DESCRIPTION</t>
        </is>
      </c>
      <c r="E13" s="17" t="inlineStr">
        <is>
          <t>TOTAL QTY</t>
        </is>
      </c>
      <c r="F13" s="18" t="inlineStr">
        <is>
          <t>Unit of measurement</t>
        </is>
      </c>
      <c r="G13" s="19" t="inlineStr">
        <is>
          <t>UNIT PRICE (KZT)</t>
        </is>
      </c>
      <c r="H13" s="20" t="inlineStr">
        <is>
          <t>TOTAL PRICE (KZT)</t>
        </is>
      </c>
      <c r="I13" s="20" t="inlineStr">
        <is>
          <t>REMARKS</t>
        </is>
      </c>
      <c r="J13" s="19" t="inlineStr">
        <is>
          <t>UNIT PRICE (KZT)</t>
        </is>
      </c>
      <c r="K13" s="20" t="inlineStr">
        <is>
          <t>TOTAL PRICE (KZT)</t>
        </is>
      </c>
      <c r="L13" s="20" t="inlineStr">
        <is>
          <t>REMARKS</t>
        </is>
      </c>
      <c r="M13" s="19" t="inlineStr">
        <is>
          <t>UNIT PRICE (KZT)</t>
        </is>
      </c>
      <c r="N13" s="20" t="inlineStr">
        <is>
          <t>TOTAL PRICE (KZT)</t>
        </is>
      </c>
      <c r="O13" s="20" t="inlineStr">
        <is>
          <t>REMARKS</t>
        </is>
      </c>
      <c r="P13" s="19" t="inlineStr">
        <is>
          <t>UNIT PRICE (KZT)</t>
        </is>
      </c>
      <c r="Q13" s="20" t="inlineStr">
        <is>
          <t>TOTAL PRICE (KZT)</t>
        </is>
      </c>
      <c r="R13" s="20" t="inlineStr">
        <is>
          <t>REMARKS</t>
        </is>
      </c>
      <c r="S13" s="19" t="inlineStr">
        <is>
          <t>UNIT PRICE (KZT)</t>
        </is>
      </c>
      <c r="T13" s="20" t="inlineStr">
        <is>
          <t>TOTAL PRICE (KZT)</t>
        </is>
      </c>
      <c r="U13" s="20" t="inlineStr">
        <is>
          <t>REMARKS</t>
        </is>
      </c>
      <c r="V13" s="19" t="inlineStr">
        <is>
          <t>UNIT PRICE (KZT)</t>
        </is>
      </c>
      <c r="W13" s="20" t="inlineStr">
        <is>
          <t>TOTAL PRICE (KZT)</t>
        </is>
      </c>
      <c r="X13" s="20" t="inlineStr">
        <is>
          <t>REMARKS</t>
        </is>
      </c>
      <c r="Y13" s="19" t="inlineStr">
        <is>
          <t>UNIT PRICE (KZT)</t>
        </is>
      </c>
      <c r="Z13" s="20" t="inlineStr">
        <is>
          <t>TOTAL PRICE (KZT)</t>
        </is>
      </c>
      <c r="AA13" s="33" t="inlineStr">
        <is>
          <t>REMARKS</t>
        </is>
      </c>
    </row>
    <row r="14" ht="33" customHeight="1" thickBot="1">
      <c r="B14" s="23" t="n">
        <v>1</v>
      </c>
      <c r="C14" s="23" t="n"/>
      <c r="D14" s="24" t="inlineStr">
        <is>
          <t>Labour Code, Occupational Safety and Health Training</t>
        </is>
      </c>
      <c r="E14" s="27" t="n">
        <v>30</v>
      </c>
      <c r="F14" s="231" t="n">
        <v>7000</v>
      </c>
      <c r="G14" s="232" t="n"/>
      <c r="H14" s="232">
        <f>G14*E14</f>
        <v/>
      </c>
      <c r="I14" s="233" t="n"/>
      <c r="J14" s="234" t="n"/>
      <c r="K14" s="234">
        <f>J14*E14</f>
        <v/>
      </c>
      <c r="L14" s="233" t="n"/>
      <c r="M14" s="234" t="n"/>
      <c r="N14" s="234">
        <f>M14*E14</f>
        <v/>
      </c>
      <c r="O14" s="233" t="inlineStr">
        <is>
          <t>Offline</t>
        </is>
      </c>
      <c r="P14" s="234" t="n"/>
      <c r="Q14" s="234">
        <f>P14*E14</f>
        <v/>
      </c>
      <c r="R14" s="233" t="n"/>
      <c r="S14" s="232" t="n"/>
      <c r="T14" s="232">
        <f>S14*$E14</f>
        <v/>
      </c>
      <c r="U14" s="233" t="inlineStr">
        <is>
          <t>Online</t>
        </is>
      </c>
      <c r="V14" s="232" t="n"/>
      <c r="W14" s="232">
        <f>V14*E14</f>
        <v/>
      </c>
      <c r="X14" s="233" t="n"/>
      <c r="Y14" s="232" t="n"/>
      <c r="Z14" s="232">
        <f>Y14*E14</f>
        <v/>
      </c>
      <c r="AA14" s="233" t="n"/>
    </row>
    <row r="15" ht="49.2" customHeight="1" thickBot="1">
      <c r="B15" s="23" t="n">
        <v>2</v>
      </c>
      <c r="C15" s="23" t="n"/>
      <c r="D15" s="24" t="inlineStr">
        <is>
          <t>Training on the Law of the Republic of Kazakhstan "On Civil Protection" for Industrial Safety at Hazardous Production Facilities</t>
        </is>
      </c>
      <c r="E15" s="27" t="n">
        <v>30</v>
      </c>
      <c r="F15" s="231" t="n"/>
      <c r="G15" s="235" t="n"/>
      <c r="H15" s="232">
        <f>G15*E15</f>
        <v/>
      </c>
      <c r="I15" s="236" t="n"/>
      <c r="J15" s="234" t="n"/>
      <c r="K15" s="234">
        <f>J15*E15</f>
        <v/>
      </c>
      <c r="L15" s="233" t="n"/>
      <c r="M15" s="237" t="n"/>
      <c r="N15" s="234">
        <f>M15*E15</f>
        <v/>
      </c>
      <c r="O15" s="233" t="inlineStr">
        <is>
          <t>Offline</t>
        </is>
      </c>
      <c r="P15" s="237" t="n"/>
      <c r="Q15" s="234">
        <f>P15*E15</f>
        <v/>
      </c>
      <c r="R15" s="233" t="n"/>
      <c r="S15" s="235" t="n"/>
      <c r="T15" s="232">
        <f>S15*$E15</f>
        <v/>
      </c>
      <c r="U15" s="233" t="inlineStr">
        <is>
          <t>Online</t>
        </is>
      </c>
      <c r="V15" s="235" t="n"/>
      <c r="W15" s="232">
        <f>V15*E15</f>
        <v/>
      </c>
      <c r="X15" s="236" t="n"/>
      <c r="Y15" s="232" t="n"/>
      <c r="Z15" s="232">
        <f>Y15*E15</f>
        <v/>
      </c>
      <c r="AA15" s="233" t="n"/>
    </row>
    <row r="16" ht="49.2" customHeight="1" thickBot="1">
      <c r="B16" s="23" t="n">
        <v>3</v>
      </c>
      <c r="C16" s="23" t="n"/>
      <c r="D16" s="24" t="inlineStr">
        <is>
          <t>Fire Safety Technical Minimum Training for Employees, Managers, and Persons Responsible for Fire Safety</t>
        </is>
      </c>
      <c r="E16" s="27" t="n">
        <v>30</v>
      </c>
      <c r="F16" s="231" t="n"/>
      <c r="G16" s="235" t="n"/>
      <c r="H16" s="232">
        <f>G16*E16</f>
        <v/>
      </c>
      <c r="I16" s="236" t="n"/>
      <c r="J16" s="234" t="n"/>
      <c r="K16" s="234">
        <f>J16*E16</f>
        <v/>
      </c>
      <c r="L16" s="233" t="n"/>
      <c r="M16" s="237" t="n"/>
      <c r="N16" s="234">
        <f>M16*E16</f>
        <v/>
      </c>
      <c r="O16" s="233" t="inlineStr">
        <is>
          <t>Offline</t>
        </is>
      </c>
      <c r="P16" s="237" t="n"/>
      <c r="Q16" s="234">
        <f>P16*E16</f>
        <v/>
      </c>
      <c r="R16" s="233" t="n"/>
      <c r="S16" s="232" t="n"/>
      <c r="T16" s="232">
        <f>S16*$E16</f>
        <v/>
      </c>
      <c r="U16" s="233" t="inlineStr">
        <is>
          <t>Online</t>
        </is>
      </c>
      <c r="V16" s="235" t="n"/>
      <c r="W16" s="232">
        <f>V16*E16</f>
        <v/>
      </c>
      <c r="X16" s="236" t="n"/>
      <c r="Y16" s="232" t="n"/>
      <c r="Z16" s="232">
        <f>Y16*E16</f>
        <v/>
      </c>
      <c r="AA16" s="233" t="n"/>
    </row>
    <row r="17" ht="16.8" customHeight="1" thickBot="1">
      <c r="B17" s="23" t="n">
        <v>4</v>
      </c>
      <c r="C17" s="23" t="n"/>
      <c r="D17" s="24" t="inlineStr">
        <is>
          <t>Person Responsible for Safe Crane Operations</t>
        </is>
      </c>
      <c r="E17" s="27" t="n">
        <v>4</v>
      </c>
      <c r="F17" s="231" t="n"/>
      <c r="G17" s="235" t="n"/>
      <c r="H17" s="232">
        <f>G17*E17</f>
        <v/>
      </c>
      <c r="I17" s="236" t="n"/>
      <c r="J17" s="234" t="n"/>
      <c r="K17" s="234">
        <f>J17*E17</f>
        <v/>
      </c>
      <c r="L17" s="233" t="n"/>
      <c r="M17" s="237" t="n"/>
      <c r="N17" s="234">
        <f>M17*E17</f>
        <v/>
      </c>
      <c r="O17" s="233" t="inlineStr">
        <is>
          <t>Offline</t>
        </is>
      </c>
      <c r="P17" s="237" t="n"/>
      <c r="Q17" s="234">
        <f>P17*E17</f>
        <v/>
      </c>
      <c r="R17" s="233" t="n"/>
      <c r="S17" s="232" t="n"/>
      <c r="T17" s="232">
        <f>S17*$E17</f>
        <v/>
      </c>
      <c r="U17" s="233" t="inlineStr">
        <is>
          <t>Online</t>
        </is>
      </c>
      <c r="V17" s="235" t="n"/>
      <c r="W17" s="232">
        <f>V17*E17</f>
        <v/>
      </c>
      <c r="X17" s="236" t="n"/>
      <c r="Y17" s="232" t="n"/>
      <c r="Z17" s="232">
        <f>Y17*E17</f>
        <v/>
      </c>
      <c r="AA17" s="233" t="n"/>
    </row>
    <row r="18" ht="33" customHeight="1" thickBot="1">
      <c r="B18" s="23" t="n">
        <v>5</v>
      </c>
      <c r="C18" s="23" t="n"/>
      <c r="D18" s="24" t="inlineStr">
        <is>
          <t>Person Responsible for the Technically Sound Condition of Lifting Cranes</t>
        </is>
      </c>
      <c r="E18" s="27" t="n">
        <v>4</v>
      </c>
      <c r="F18" s="231" t="n"/>
      <c r="G18" s="235" t="n"/>
      <c r="H18" s="232">
        <f>G18*E18</f>
        <v/>
      </c>
      <c r="I18" s="236" t="n"/>
      <c r="J18" s="234" t="n"/>
      <c r="K18" s="234">
        <f>J18*E18</f>
        <v/>
      </c>
      <c r="L18" s="233" t="n"/>
      <c r="M18" s="237" t="n"/>
      <c r="N18" s="234">
        <f>M18*E18</f>
        <v/>
      </c>
      <c r="O18" s="233" t="inlineStr">
        <is>
          <t>Offline</t>
        </is>
      </c>
      <c r="P18" s="237" t="n"/>
      <c r="Q18" s="234">
        <f>P18*E18</f>
        <v/>
      </c>
      <c r="R18" s="233" t="n"/>
      <c r="S18" s="232" t="n"/>
      <c r="T18" s="232">
        <f>S18*$E18</f>
        <v/>
      </c>
      <c r="U18" s="233" t="inlineStr">
        <is>
          <t>Online</t>
        </is>
      </c>
      <c r="V18" s="235" t="n"/>
      <c r="W18" s="232">
        <f>V18*E18</f>
        <v/>
      </c>
      <c r="X18" s="236" t="n"/>
      <c r="Y18" s="232" t="n"/>
      <c r="Z18" s="232">
        <f>Y18*E18</f>
        <v/>
      </c>
      <c r="AA18" s="233" t="n"/>
    </row>
    <row r="19" ht="33" customHeight="1" thickBot="1">
      <c r="B19" s="23" t="n">
        <v>6</v>
      </c>
      <c r="C19" s="23" t="n"/>
      <c r="D19" s="24" t="inlineStr">
        <is>
          <t>Industrial Safety Rules for the Operation of Pressure Equipment</t>
        </is>
      </c>
      <c r="E19" s="27" t="n">
        <v>4</v>
      </c>
      <c r="F19" s="231" t="n"/>
      <c r="G19" s="235" t="n"/>
      <c r="H19" s="232">
        <f>G19*E19</f>
        <v/>
      </c>
      <c r="I19" s="236" t="n"/>
      <c r="J19" s="234" t="n"/>
      <c r="K19" s="234">
        <f>J19*E19</f>
        <v/>
      </c>
      <c r="L19" s="233" t="n"/>
      <c r="M19" s="237" t="n"/>
      <c r="N19" s="234">
        <f>M19*E19</f>
        <v/>
      </c>
      <c r="O19" s="233" t="inlineStr">
        <is>
          <t>Offline</t>
        </is>
      </c>
      <c r="P19" s="237" t="n"/>
      <c r="Q19" s="234">
        <f>P19*E19</f>
        <v/>
      </c>
      <c r="R19" s="233" t="n"/>
      <c r="S19" s="232" t="n"/>
      <c r="T19" s="232">
        <f>S19*$E19</f>
        <v/>
      </c>
      <c r="U19" s="233" t="inlineStr">
        <is>
          <t>Online</t>
        </is>
      </c>
      <c r="V19" s="235" t="n"/>
      <c r="W19" s="232">
        <f>V19*E19</f>
        <v/>
      </c>
      <c r="X19" s="236" t="n"/>
      <c r="Y19" s="232" t="n"/>
      <c r="Z19" s="232">
        <f>Y19*E19</f>
        <v/>
      </c>
      <c r="AA19" s="233" t="n"/>
    </row>
    <row r="20" ht="35.4" customHeight="1" thickBot="1">
      <c r="B20" s="23" t="n">
        <v>7</v>
      </c>
      <c r="C20" s="23" t="n"/>
      <c r="D20" s="24" t="inlineStr">
        <is>
          <t>First Aid Training</t>
        </is>
      </c>
      <c r="E20" s="27" t="n">
        <v>3</v>
      </c>
      <c r="F20" s="231" t="n"/>
      <c r="G20" s="235" t="n"/>
      <c r="H20" s="232">
        <f>G20*E20</f>
        <v/>
      </c>
      <c r="I20" s="236" t="n"/>
      <c r="J20" s="234" t="n"/>
      <c r="K20" s="234">
        <f>J20*E20</f>
        <v/>
      </c>
      <c r="L20" s="233" t="n"/>
      <c r="M20" s="237" t="n"/>
      <c r="N20" s="234">
        <f>M20*E20</f>
        <v/>
      </c>
      <c r="O20" s="236" t="n"/>
      <c r="P20" s="237" t="n"/>
      <c r="Q20" s="234">
        <f>P20*E20</f>
        <v/>
      </c>
      <c r="R20" s="236" t="inlineStr">
        <is>
          <t>Offline only</t>
        </is>
      </c>
      <c r="S20" s="232" t="n"/>
      <c r="T20" s="232">
        <f>S20*$E20</f>
        <v/>
      </c>
      <c r="U20" s="233" t="inlineStr">
        <is>
          <t>Online</t>
        </is>
      </c>
      <c r="V20" s="235" t="n"/>
      <c r="W20" s="232">
        <f>V20*E20</f>
        <v/>
      </c>
      <c r="X20" s="236" t="n"/>
      <c r="Y20" s="232" t="n"/>
      <c r="Z20" s="232">
        <f>Y20*E20</f>
        <v/>
      </c>
      <c r="AA20" s="233" t="n"/>
    </row>
    <row r="21" ht="33" customHeight="1" thickBot="1">
      <c r="B21" s="23" t="n">
        <v>8</v>
      </c>
      <c r="C21" s="23" t="n"/>
      <c r="D21" s="24" t="inlineStr">
        <is>
          <t>Electrical Safety: Technical Operation and Safety Rules (Groups IV and V)</t>
        </is>
      </c>
      <c r="E21" s="27" t="n">
        <v>5</v>
      </c>
      <c r="F21" s="231" t="n"/>
      <c r="G21" s="235" t="n"/>
      <c r="H21" s="232">
        <f>G21*E21</f>
        <v/>
      </c>
      <c r="I21" s="236" t="n"/>
      <c r="J21" s="234" t="n"/>
      <c r="K21" s="234">
        <f>J21*E21</f>
        <v/>
      </c>
      <c r="L21" s="233" t="n"/>
      <c r="M21" s="237" t="n"/>
      <c r="N21" s="234">
        <f>M21*E21</f>
        <v/>
      </c>
      <c r="O21" s="233" t="inlineStr">
        <is>
          <t>Offline</t>
        </is>
      </c>
      <c r="P21" s="237" t="n"/>
      <c r="Q21" s="234">
        <f>P21*E21</f>
        <v/>
      </c>
      <c r="R21" s="233" t="n"/>
      <c r="S21" s="235" t="n"/>
      <c r="T21" s="232">
        <f>S21*$E21</f>
        <v/>
      </c>
      <c r="U21" s="233" t="inlineStr">
        <is>
          <t>Online</t>
        </is>
      </c>
      <c r="V21" s="235" t="n"/>
      <c r="W21" s="232">
        <f>V21*E21</f>
        <v/>
      </c>
      <c r="X21" s="236" t="n"/>
      <c r="Y21" s="232" t="n"/>
      <c r="Z21" s="232">
        <f>Y21*E21</f>
        <v/>
      </c>
      <c r="AA21" s="233" t="n"/>
    </row>
    <row r="22" ht="33" customHeight="1" thickBot="1">
      <c r="B22" s="23" t="n">
        <v>9</v>
      </c>
      <c r="C22" s="23" t="n"/>
      <c r="D22" s="24" t="inlineStr">
        <is>
          <t>Electrical Safety: Technical Operation and Safety Rules (Groups II and III)</t>
        </is>
      </c>
      <c r="E22" s="27" t="n">
        <v>10</v>
      </c>
      <c r="F22" s="231" t="n"/>
      <c r="G22" s="235" t="n"/>
      <c r="H22" s="232">
        <f>G22*E22</f>
        <v/>
      </c>
      <c r="I22" s="236" t="n"/>
      <c r="J22" s="234" t="n"/>
      <c r="K22" s="234">
        <f>J22*E22</f>
        <v/>
      </c>
      <c r="L22" s="233" t="n"/>
      <c r="M22" s="237" t="n"/>
      <c r="N22" s="234">
        <f>M22*E22</f>
        <v/>
      </c>
      <c r="O22" s="233" t="inlineStr">
        <is>
          <t>Offline</t>
        </is>
      </c>
      <c r="P22" s="237" t="n"/>
      <c r="Q22" s="234">
        <f>P22*E22</f>
        <v/>
      </c>
      <c r="R22" s="233" t="n"/>
      <c r="S22" s="232" t="n"/>
      <c r="T22" s="232">
        <f>S22*$E22</f>
        <v/>
      </c>
      <c r="U22" s="233" t="inlineStr">
        <is>
          <t>Online</t>
        </is>
      </c>
      <c r="V22" s="235" t="n"/>
      <c r="W22" s="232">
        <f>V22*E22</f>
        <v/>
      </c>
      <c r="X22" s="236" t="n"/>
      <c r="Y22" s="232" t="n"/>
      <c r="Z22" s="232">
        <f>Y22*E22</f>
        <v/>
      </c>
      <c r="AA22" s="233" t="n"/>
    </row>
    <row r="23" ht="65.40000000000001" customHeight="1" thickBot="1">
      <c r="B23" s="23" t="n">
        <v>10</v>
      </c>
      <c r="C23" s="23" t="n"/>
      <c r="D23" s="24" t="inlineStr">
        <is>
          <t>Qualification Certificate</t>
        </is>
      </c>
      <c r="E23" s="27" t="n">
        <v>10</v>
      </c>
      <c r="F23" s="231" t="n"/>
      <c r="G23" s="235" t="n"/>
      <c r="H23" s="232">
        <f>G23*E23</f>
        <v/>
      </c>
      <c r="I23" s="236" t="inlineStr">
        <is>
          <t>The vendor calls the course "Knowledge Assessment and Professional Qualification Confirmation"</t>
        </is>
      </c>
      <c r="J23" s="234" t="n"/>
      <c r="K23" s="234">
        <f>J23*E23</f>
        <v/>
      </c>
      <c r="L23" s="233" t="n"/>
      <c r="M23" s="237" t="n"/>
      <c r="N23" s="234">
        <f>M23*E23</f>
        <v/>
      </c>
      <c r="O23" s="233" t="inlineStr">
        <is>
          <t>Offline</t>
        </is>
      </c>
      <c r="P23" s="237" t="n"/>
      <c r="Q23" s="234">
        <f>P23*E23</f>
        <v/>
      </c>
      <c r="R23" s="233" t="n"/>
      <c r="S23" s="235" t="n"/>
      <c r="T23" s="232">
        <f>S23*$E23</f>
        <v/>
      </c>
      <c r="U23" s="233" t="inlineStr">
        <is>
          <t>Online</t>
        </is>
      </c>
      <c r="V23" s="235" t="n"/>
      <c r="W23" s="232">
        <f>V23*E23</f>
        <v/>
      </c>
      <c r="X23" s="236" t="n"/>
      <c r="Y23" s="232" t="n"/>
      <c r="Z23" s="232">
        <f>Y23*E23</f>
        <v/>
      </c>
      <c r="AA23" s="233" t="n"/>
    </row>
    <row r="24" ht="18" customHeight="1">
      <c r="B24" s="124" t="inlineStr">
        <is>
          <t>TOTAL</t>
        </is>
      </c>
      <c r="C24" s="238" t="n"/>
      <c r="D24" s="239" t="n"/>
      <c r="E24" s="34" t="n"/>
      <c r="F24" s="26" t="n"/>
      <c r="G24" s="240" t="n"/>
      <c r="H24" s="241">
        <f>SUM(H14:H23)</f>
        <v/>
      </c>
      <c r="I24" s="242" t="n"/>
      <c r="J24" s="243" t="n"/>
      <c r="K24" s="241">
        <f>SUM(K14:K23)</f>
        <v/>
      </c>
      <c r="L24" s="244" t="n"/>
      <c r="M24" s="243" t="n"/>
      <c r="N24" s="241">
        <f>SUM(N14:N23)</f>
        <v/>
      </c>
      <c r="O24" s="244" t="n"/>
      <c r="P24" s="243" t="n"/>
      <c r="Q24" s="241">
        <f>SUM(Q14:Q23)</f>
        <v/>
      </c>
      <c r="R24" s="244" t="n"/>
      <c r="S24" s="243" t="n"/>
      <c r="T24" s="241">
        <f>SUM(T14:T23)</f>
        <v/>
      </c>
      <c r="U24" s="244" t="n"/>
      <c r="V24" s="243" t="n"/>
      <c r="W24" s="241">
        <f>SUM(W14:W23)</f>
        <v/>
      </c>
      <c r="X24" s="244" t="n"/>
      <c r="Y24" s="243" t="n"/>
      <c r="Z24" s="241">
        <f>SUM(Z14:Z23)</f>
        <v/>
      </c>
      <c r="AA24" s="244" t="n"/>
    </row>
    <row r="25" ht="16.2" customHeight="1">
      <c r="B25" s="166" t="inlineStr">
        <is>
          <t>DISCOUNT</t>
        </is>
      </c>
      <c r="C25" s="226" t="n"/>
      <c r="D25" s="245" t="n"/>
      <c r="E25" s="35" t="n"/>
      <c r="F25" s="21" t="n"/>
      <c r="G25" s="246" t="n"/>
      <c r="H25" s="246" t="n"/>
      <c r="I25" s="247" t="n"/>
      <c r="J25" s="248" t="n"/>
      <c r="K25" s="246" t="n"/>
      <c r="L25" s="249" t="n"/>
      <c r="M25" s="248" t="n"/>
      <c r="N25" s="246" t="n"/>
      <c r="O25" s="249" t="n"/>
      <c r="P25" s="248" t="n"/>
      <c r="Q25" s="246" t="n"/>
      <c r="R25" s="249" t="n"/>
      <c r="S25" s="248" t="n"/>
      <c r="T25" s="246" t="n"/>
      <c r="U25" s="249" t="n"/>
      <c r="V25" s="248" t="n"/>
      <c r="W25" s="246" t="n"/>
      <c r="X25" s="249" t="n"/>
      <c r="Y25" s="248" t="n"/>
      <c r="Z25" s="246" t="n"/>
      <c r="AA25" s="249" t="n"/>
    </row>
    <row r="26" ht="16.8" customHeight="1" thickBot="1">
      <c r="B26" s="153" t="inlineStr">
        <is>
          <t>VAT</t>
        </is>
      </c>
      <c r="C26" s="250" t="n"/>
      <c r="D26" s="251" t="n"/>
      <c r="E26" s="36" t="n"/>
      <c r="F26" s="37" t="n"/>
      <c r="G26" s="252" t="n"/>
      <c r="H26" s="253" t="n">
        <v>0.16</v>
      </c>
      <c r="I26" s="254" t="n"/>
      <c r="J26" s="255" t="n"/>
      <c r="K26" s="253" t="n">
        <v>0.16</v>
      </c>
      <c r="L26" s="254" t="n"/>
      <c r="M26" s="255" t="n"/>
      <c r="N26" s="253" t="n">
        <v>0.16</v>
      </c>
      <c r="O26" s="254" t="n"/>
      <c r="P26" s="255" t="n"/>
      <c r="Q26" s="253" t="n">
        <v>0.16</v>
      </c>
      <c r="R26" s="254" t="n"/>
      <c r="S26" s="255" t="n"/>
      <c r="T26" s="253" t="n"/>
      <c r="U26" s="254" t="n"/>
      <c r="V26" s="255" t="n"/>
      <c r="W26" s="253" t="n"/>
      <c r="X26" s="254" t="n"/>
      <c r="Y26" s="255" t="n"/>
      <c r="Z26" s="253" t="n">
        <v>0.16</v>
      </c>
      <c r="AA26" s="254" t="n"/>
    </row>
    <row r="27" ht="18.6" customHeight="1" thickBot="1">
      <c r="B27" s="152" t="inlineStr">
        <is>
          <t>GRAND TOTAL</t>
        </is>
      </c>
      <c r="C27" s="256" t="n"/>
      <c r="D27" s="257" t="n"/>
      <c r="E27" s="22" t="n"/>
      <c r="F27" s="22" t="n"/>
      <c r="G27" s="258">
        <f>H24*H26+H24</f>
        <v/>
      </c>
      <c r="H27" s="256" t="n"/>
      <c r="I27" s="257" t="n"/>
      <c r="J27" s="258">
        <f>K24*K26+K24</f>
        <v/>
      </c>
      <c r="K27" s="256" t="n"/>
      <c r="L27" s="257" t="n"/>
      <c r="M27" s="258">
        <f>N24*N26+N24</f>
        <v/>
      </c>
      <c r="N27" s="256" t="n"/>
      <c r="O27" s="257" t="n"/>
      <c r="P27" s="258">
        <f>Q24*Q26+Q24</f>
        <v/>
      </c>
      <c r="Q27" s="256" t="n"/>
      <c r="R27" s="257" t="n"/>
      <c r="S27" s="258">
        <f>T24*T26+T24</f>
        <v/>
      </c>
      <c r="T27" s="256" t="n"/>
      <c r="U27" s="257" t="n"/>
      <c r="V27" s="258">
        <f>W24*W26+W24</f>
        <v/>
      </c>
      <c r="W27" s="256" t="n"/>
      <c r="X27" s="257" t="n"/>
      <c r="Y27" s="258">
        <f>Z24*Z26+Z24</f>
        <v/>
      </c>
      <c r="Z27" s="256" t="n"/>
      <c r="AA27" s="257" t="n"/>
    </row>
    <row r="28" ht="9.6" customHeight="1">
      <c r="B28" s="259" t="n"/>
      <c r="C28" s="213" t="n"/>
      <c r="D28" s="213" t="n"/>
      <c r="E28" s="213" t="n"/>
      <c r="F28" s="213" t="n"/>
      <c r="G28" s="213" t="n"/>
      <c r="H28" s="213" t="n"/>
      <c r="I28" s="213" t="n"/>
      <c r="J28" s="213" t="n"/>
      <c r="K28" s="213" t="n"/>
      <c r="L28" s="213" t="n"/>
      <c r="M28" s="213" t="n"/>
      <c r="N28" s="213" t="n"/>
      <c r="O28" s="213" t="n"/>
      <c r="P28" s="213" t="n"/>
      <c r="Q28" s="213" t="n"/>
      <c r="R28" s="213" t="n"/>
      <c r="S28" s="213" t="n"/>
      <c r="T28" s="213" t="n"/>
      <c r="U28" s="213" t="n"/>
      <c r="V28" s="213" t="n"/>
      <c r="W28" s="213" t="n"/>
      <c r="X28" s="213" t="n"/>
      <c r="Y28" s="213" t="n"/>
      <c r="Z28" s="213" t="n"/>
      <c r="AA28" s="216" t="n"/>
    </row>
    <row r="29" ht="16.2" customHeight="1">
      <c r="B29" s="159" t="inlineStr">
        <is>
          <t>TERMS OF PAYMENT</t>
        </is>
      </c>
      <c r="C29" s="222" t="n"/>
      <c r="D29" s="222" t="n"/>
      <c r="E29" s="222" t="n"/>
      <c r="F29" s="228" t="n"/>
      <c r="G29" s="149" t="n"/>
      <c r="H29" s="222" t="n"/>
      <c r="I29" s="228" t="n"/>
      <c r="J29" s="149" t="n"/>
      <c r="K29" s="222" t="n"/>
      <c r="L29" s="228" t="n"/>
      <c r="M29" s="116" t="n"/>
      <c r="N29" s="222" t="n"/>
      <c r="O29" s="228" t="n"/>
      <c r="P29" s="149" t="n"/>
      <c r="Q29" s="222" t="n"/>
      <c r="R29" s="228" t="n"/>
      <c r="S29" s="149" t="n"/>
      <c r="T29" s="222" t="n"/>
      <c r="U29" s="228" t="n"/>
      <c r="V29" s="149" t="n"/>
      <c r="W29" s="222" t="n"/>
      <c r="X29" s="228" t="n"/>
      <c r="Y29" s="149" t="n"/>
      <c r="Z29" s="222" t="n"/>
      <c r="AA29" s="228" t="n"/>
    </row>
    <row r="30" hidden="1" ht="16.2" customHeight="1">
      <c r="B30" s="108" t="inlineStr">
        <is>
          <t>Mobilisation / Demobilisation Transport</t>
        </is>
      </c>
      <c r="C30" s="226" t="n"/>
      <c r="D30" s="226" t="n"/>
      <c r="E30" s="226" t="n"/>
      <c r="F30" s="245" t="n"/>
      <c r="G30" s="118" t="inlineStr">
        <is>
          <t>SUBCONTRACTOR</t>
        </is>
      </c>
      <c r="H30" s="226" t="n"/>
      <c r="I30" s="245" t="n"/>
      <c r="J30" s="118" t="inlineStr">
        <is>
          <t>SUBCONTRACTOR</t>
        </is>
      </c>
      <c r="K30" s="226" t="n"/>
      <c r="L30" s="245" t="n"/>
      <c r="M30" s="118" t="inlineStr">
        <is>
          <t>SUBCONTRACTOR</t>
        </is>
      </c>
      <c r="N30" s="226" t="n"/>
      <c r="O30" s="245" t="n"/>
      <c r="P30" s="118" t="inlineStr">
        <is>
          <t>SUBCONTRACTOR</t>
        </is>
      </c>
      <c r="Q30" s="226" t="n"/>
      <c r="R30" s="245" t="n"/>
      <c r="S30" s="118" t="inlineStr">
        <is>
          <t>SUBCONTRACTOR</t>
        </is>
      </c>
      <c r="T30" s="226" t="n"/>
      <c r="U30" s="245" t="n"/>
      <c r="V30" s="118" t="inlineStr">
        <is>
          <t>SUBCONTRACTOR</t>
        </is>
      </c>
      <c r="W30" s="226" t="n"/>
      <c r="X30" s="245" t="n"/>
      <c r="Y30" s="118" t="inlineStr">
        <is>
          <t>SUBCONTRACTOR</t>
        </is>
      </c>
      <c r="Z30" s="226" t="n"/>
      <c r="AA30" s="245" t="n"/>
    </row>
    <row r="31" hidden="1" ht="16.2" customHeight="1">
      <c r="B31" s="108" t="inlineStr">
        <is>
          <t>Mobilisation / Demobilisation Personnel</t>
        </is>
      </c>
      <c r="C31" s="226" t="n"/>
      <c r="D31" s="226" t="n"/>
      <c r="E31" s="226" t="n"/>
      <c r="F31" s="245" t="n"/>
      <c r="G31" s="118" t="inlineStr">
        <is>
          <t>SUBCONTRACTOR</t>
        </is>
      </c>
      <c r="H31" s="226" t="n"/>
      <c r="I31" s="245" t="n"/>
      <c r="J31" s="118" t="inlineStr">
        <is>
          <t>SUBCONTRACTOR</t>
        </is>
      </c>
      <c r="K31" s="226" t="n"/>
      <c r="L31" s="245" t="n"/>
      <c r="M31" s="118" t="inlineStr">
        <is>
          <t>SUBCONTRACTOR</t>
        </is>
      </c>
      <c r="N31" s="226" t="n"/>
      <c r="O31" s="245" t="n"/>
      <c r="P31" s="118" t="inlineStr">
        <is>
          <t>SUBCONTRACTOR</t>
        </is>
      </c>
      <c r="Q31" s="226" t="n"/>
      <c r="R31" s="245" t="n"/>
      <c r="S31" s="118" t="inlineStr">
        <is>
          <t>SUBCONTRACTOR</t>
        </is>
      </c>
      <c r="T31" s="226" t="n"/>
      <c r="U31" s="245" t="n"/>
      <c r="V31" s="118" t="inlineStr">
        <is>
          <t>SUBCONTRACTOR</t>
        </is>
      </c>
      <c r="W31" s="226" t="n"/>
      <c r="X31" s="245" t="n"/>
      <c r="Y31" s="118" t="inlineStr">
        <is>
          <t>SUBCONTRACTOR</t>
        </is>
      </c>
      <c r="Z31" s="226" t="n"/>
      <c r="AA31" s="245" t="n"/>
    </row>
    <row r="32" hidden="1" ht="16.2" customHeight="1">
      <c r="B32" s="108" t="inlineStr">
        <is>
          <t>DIESEL</t>
        </is>
      </c>
      <c r="C32" s="226" t="n"/>
      <c r="D32" s="226" t="n"/>
      <c r="E32" s="226" t="n"/>
      <c r="F32" s="245" t="n"/>
      <c r="G32" s="118" t="inlineStr">
        <is>
          <t>SUBCONTRACTOR</t>
        </is>
      </c>
      <c r="H32" s="226" t="n"/>
      <c r="I32" s="245" t="n"/>
      <c r="J32" s="118" t="inlineStr">
        <is>
          <t>SUBCONTRACTOR</t>
        </is>
      </c>
      <c r="K32" s="226" t="n"/>
      <c r="L32" s="245" t="n"/>
      <c r="M32" s="118" t="inlineStr">
        <is>
          <t>SUBCONTRACTOR</t>
        </is>
      </c>
      <c r="N32" s="226" t="n"/>
      <c r="O32" s="245" t="n"/>
      <c r="P32" s="118" t="inlineStr">
        <is>
          <t>SUBCONTRACTOR</t>
        </is>
      </c>
      <c r="Q32" s="226" t="n"/>
      <c r="R32" s="245" t="n"/>
      <c r="S32" s="118" t="inlineStr">
        <is>
          <t>SUBCONTRACTOR</t>
        </is>
      </c>
      <c r="T32" s="226" t="n"/>
      <c r="U32" s="245" t="n"/>
      <c r="V32" s="118" t="inlineStr">
        <is>
          <t>SUBCONTRACTOR</t>
        </is>
      </c>
      <c r="W32" s="226" t="n"/>
      <c r="X32" s="245" t="n"/>
      <c r="Y32" s="118" t="inlineStr">
        <is>
          <t>SUBCONTRACTOR</t>
        </is>
      </c>
      <c r="Z32" s="226" t="n"/>
      <c r="AA32" s="245" t="n"/>
    </row>
    <row r="33" hidden="1" ht="16.2" customHeight="1">
      <c r="B33" s="108" t="inlineStr">
        <is>
          <t>Accomodation</t>
        </is>
      </c>
      <c r="C33" s="226" t="n"/>
      <c r="D33" s="226" t="n"/>
      <c r="E33" s="226" t="n"/>
      <c r="F33" s="245" t="n"/>
      <c r="G33" s="118" t="inlineStr">
        <is>
          <t>SUBCONTRACTOR</t>
        </is>
      </c>
      <c r="H33" s="226" t="n"/>
      <c r="I33" s="245" t="n"/>
      <c r="J33" s="118" t="inlineStr">
        <is>
          <t>SUBCONTRACTOR</t>
        </is>
      </c>
      <c r="K33" s="226" t="n"/>
      <c r="L33" s="245" t="n"/>
      <c r="M33" s="118" t="inlineStr">
        <is>
          <t>SUBCONTRACTOR</t>
        </is>
      </c>
      <c r="N33" s="226" t="n"/>
      <c r="O33" s="245" t="n"/>
      <c r="P33" s="118" t="inlineStr">
        <is>
          <t>SUBCONTRACTOR</t>
        </is>
      </c>
      <c r="Q33" s="226" t="n"/>
      <c r="R33" s="245" t="n"/>
      <c r="S33" s="118" t="inlineStr">
        <is>
          <t>SUBCONTRACTOR</t>
        </is>
      </c>
      <c r="T33" s="226" t="n"/>
      <c r="U33" s="245" t="n"/>
      <c r="V33" s="118" t="inlineStr">
        <is>
          <t>SUBCONTRACTOR</t>
        </is>
      </c>
      <c r="W33" s="226" t="n"/>
      <c r="X33" s="245" t="n"/>
      <c r="Y33" s="118" t="inlineStr">
        <is>
          <t>SUBCONTRACTOR</t>
        </is>
      </c>
      <c r="Z33" s="226" t="n"/>
      <c r="AA33" s="245" t="n"/>
    </row>
    <row r="34" hidden="1" ht="16.2" customHeight="1">
      <c r="B34" s="108" t="inlineStr">
        <is>
          <t>Meal</t>
        </is>
      </c>
      <c r="C34" s="226" t="n"/>
      <c r="D34" s="226" t="n"/>
      <c r="E34" s="226" t="n"/>
      <c r="F34" s="245" t="n"/>
      <c r="G34" s="118" t="inlineStr">
        <is>
          <t>SUBCONTRACTOR</t>
        </is>
      </c>
      <c r="H34" s="226" t="n"/>
      <c r="I34" s="245" t="n"/>
      <c r="J34" s="118" t="inlineStr">
        <is>
          <t>SUBCONTRACTOR</t>
        </is>
      </c>
      <c r="K34" s="226" t="n"/>
      <c r="L34" s="245" t="n"/>
      <c r="M34" s="118" t="inlineStr">
        <is>
          <t>SUBCONTRACTOR</t>
        </is>
      </c>
      <c r="N34" s="226" t="n"/>
      <c r="O34" s="245" t="n"/>
      <c r="P34" s="118" t="n"/>
      <c r="Q34" s="226" t="n"/>
      <c r="R34" s="245" t="n"/>
      <c r="S34" s="118" t="inlineStr">
        <is>
          <t>SUBCONTRACTOR</t>
        </is>
      </c>
      <c r="T34" s="226" t="n"/>
      <c r="U34" s="245" t="n"/>
      <c r="V34" s="118" t="inlineStr">
        <is>
          <t>SUBCONTRACTOR</t>
        </is>
      </c>
      <c r="W34" s="226" t="n"/>
      <c r="X34" s="245" t="n"/>
      <c r="Y34" s="118" t="inlineStr">
        <is>
          <t>SUBCONTRACTOR</t>
        </is>
      </c>
      <c r="Z34" s="226" t="n"/>
      <c r="AA34" s="245" t="n"/>
    </row>
    <row r="35" ht="37.8" customHeight="1" thickBot="1">
      <c r="B35" s="158" t="inlineStr">
        <is>
          <t>REMARKS</t>
        </is>
      </c>
      <c r="C35" s="250" t="n"/>
      <c r="D35" s="250" t="n"/>
      <c r="E35" s="250" t="n"/>
      <c r="F35" s="251" t="n"/>
      <c r="G35" s="150" t="n"/>
      <c r="H35" s="250" t="n"/>
      <c r="I35" s="251" t="n"/>
      <c r="J35" s="161" t="n"/>
      <c r="K35" s="250" t="n"/>
      <c r="L35" s="251" t="n"/>
      <c r="M35" s="161" t="inlineStr">
        <is>
          <t>Minimum number of participants: 7</t>
        </is>
      </c>
      <c r="N35" s="250" t="n"/>
      <c r="O35" s="251" t="n"/>
      <c r="P35" s="161" t="inlineStr">
        <is>
          <t>First Aid Training
Offline only</t>
        </is>
      </c>
      <c r="Q35" s="250" t="n"/>
      <c r="R35" s="251" t="n"/>
      <c r="S35" s="150" t="n"/>
      <c r="T35" s="250" t="n"/>
      <c r="U35" s="251" t="n"/>
      <c r="V35" s="150" t="n"/>
      <c r="W35" s="250" t="n"/>
      <c r="X35" s="251" t="n"/>
      <c r="Y35" s="150" t="n"/>
      <c r="Z35" s="250" t="n"/>
      <c r="AA35" s="251" t="n"/>
    </row>
    <row r="36" ht="15" customHeight="1" thickBot="1">
      <c r="B36" s="260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  <c r="N36" s="25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7" t="n"/>
    </row>
    <row r="37" ht="27" customHeight="1" thickBot="1">
      <c r="B37" s="189" t="inlineStr">
        <is>
          <t>PURCHASE RECOMMENDATION:</t>
        </is>
      </c>
      <c r="C37" s="256" t="n"/>
      <c r="D37" s="256" t="n"/>
      <c r="E37" s="257" t="n"/>
      <c r="F37" s="261" t="n"/>
      <c r="G37" s="256" t="n"/>
      <c r="H37" s="256" t="n"/>
      <c r="I37" s="256" t="n"/>
      <c r="J37" s="256" t="n"/>
      <c r="K37" s="256" t="n"/>
      <c r="L37" s="256" t="n"/>
      <c r="M37" s="256" t="n"/>
      <c r="N37" s="25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6" t="n"/>
      <c r="Y37" s="256" t="n"/>
      <c r="Z37" s="256" t="n"/>
      <c r="AA37" s="257" t="n"/>
    </row>
    <row r="38" ht="16.8" customHeight="1" thickBot="1">
      <c r="B38" s="262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6" t="n"/>
      <c r="Y38" s="256" t="n"/>
      <c r="Z38" s="256" t="n"/>
      <c r="AA38" s="257" t="n"/>
    </row>
    <row r="39" ht="27" customHeight="1" thickBot="1">
      <c r="B39" s="189" t="inlineStr">
        <is>
          <t>VENDOR:</t>
        </is>
      </c>
      <c r="C39" s="256" t="n"/>
      <c r="D39" s="256" t="n"/>
      <c r="E39" s="257" t="n"/>
      <c r="F39" s="263">
        <f>J9</f>
        <v/>
      </c>
      <c r="G39" s="256" t="n"/>
      <c r="H39" s="256" t="n"/>
      <c r="I39" s="256" t="n"/>
      <c r="J39" s="256" t="n"/>
      <c r="K39" s="256" t="n"/>
      <c r="L39" s="256" t="n"/>
      <c r="M39" s="256" t="n"/>
      <c r="N39" s="25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6" t="n"/>
      <c r="Y39" s="256" t="n"/>
      <c r="Z39" s="256" t="n"/>
      <c r="AA39" s="257" t="n"/>
    </row>
    <row r="40" ht="16.8" customHeight="1" thickBot="1">
      <c r="B40" s="262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  <c r="N40" s="25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6" t="n"/>
      <c r="Y40" s="256" t="n"/>
      <c r="Z40" s="256" t="n"/>
      <c r="AA40" s="257" t="n"/>
    </row>
    <row r="41" ht="27" customHeight="1" thickBot="1">
      <c r="B41" s="189" t="inlineStr">
        <is>
          <t>REASON</t>
        </is>
      </c>
      <c r="C41" s="256" t="n"/>
      <c r="D41" s="256" t="n"/>
      <c r="E41" s="257" t="n"/>
      <c r="F41" s="263" t="inlineStr">
        <is>
          <t>Lowest total price among valid bids</t>
        </is>
      </c>
      <c r="G41" s="256" t="n"/>
      <c r="H41" s="256" t="n"/>
      <c r="I41" s="256" t="n"/>
      <c r="J41" s="256" t="n"/>
      <c r="K41" s="256" t="n"/>
      <c r="L41" s="256" t="n"/>
      <c r="M41" s="256" t="n"/>
      <c r="N41" s="256" t="n"/>
      <c r="O41" s="256" t="n"/>
      <c r="P41" s="256" t="n"/>
      <c r="Q41" s="256" t="n"/>
      <c r="R41" s="256" t="n"/>
      <c r="S41" s="256" t="n"/>
      <c r="T41" s="256" t="n"/>
      <c r="U41" s="256" t="n"/>
      <c r="V41" s="256" t="n"/>
      <c r="W41" s="256" t="n"/>
      <c r="X41" s="256" t="n"/>
      <c r="Y41" s="256" t="n"/>
      <c r="Z41" s="256" t="n"/>
      <c r="AA41" s="257" t="n"/>
    </row>
    <row r="42" ht="16.8" customHeight="1" thickBot="1"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36.75" customHeight="1">
      <c r="B43" s="190" t="inlineStr">
        <is>
          <t>CHECKED BY:</t>
        </is>
      </c>
      <c r="C43" s="31" t="inlineStr">
        <is>
          <t>PREPARED BY:</t>
        </is>
      </c>
      <c r="D43" s="264" t="n"/>
      <c r="E43" s="213" t="n"/>
      <c r="F43" s="10" t="n"/>
      <c r="G43" s="265" t="inlineStr">
        <is>
          <t>APPROVED BY:</t>
        </is>
      </c>
      <c r="H43" s="214" t="n"/>
      <c r="I43" s="266" t="n"/>
      <c r="J43" s="213" t="n"/>
      <c r="K43" s="213" t="n"/>
      <c r="L43" s="39" t="inlineStr">
        <is>
          <t>AGREED BY:</t>
        </is>
      </c>
      <c r="M43" s="39" t="n"/>
      <c r="N43" s="39" t="n"/>
      <c r="O43" s="39" t="n"/>
      <c r="P43" s="267" t="n"/>
      <c r="Q43" s="213" t="n"/>
      <c r="R43" s="216" t="n"/>
      <c r="S43" s="267" t="n"/>
      <c r="T43" s="213" t="n"/>
      <c r="U43" s="216" t="n"/>
      <c r="V43" s="267" t="n"/>
      <c r="W43" s="213" t="n"/>
      <c r="X43" s="216" t="n"/>
      <c r="Y43" s="38" t="n"/>
      <c r="Z43" s="38" t="n"/>
      <c r="AA43" s="8" t="n"/>
    </row>
    <row r="44" ht="24.75" customHeight="1">
      <c r="B44" s="268" t="n"/>
      <c r="C44" s="30" t="n"/>
      <c r="D44" s="269" t="n"/>
      <c r="F44" s="9" t="n"/>
      <c r="G44" s="269" t="n"/>
      <c r="H44" s="219" t="n"/>
      <c r="I44" s="269" t="n"/>
      <c r="L44" s="40" t="n"/>
      <c r="M44" s="40" t="n"/>
      <c r="N44" s="40" t="n"/>
      <c r="O44" s="40" t="n"/>
      <c r="P44" s="269" t="n"/>
      <c r="R44" s="206" t="n"/>
      <c r="S44" s="269" t="n"/>
      <c r="U44" s="206" t="n"/>
      <c r="V44" s="269" t="n"/>
      <c r="X44" s="206" t="n"/>
      <c r="Y44" s="38" t="n"/>
      <c r="Z44" s="38" t="n"/>
      <c r="AA44" s="8" t="n"/>
    </row>
    <row r="45" ht="24.75" customHeight="1" thickBot="1">
      <c r="B45" s="270" t="n"/>
      <c r="C45" s="32" t="n"/>
      <c r="D45" s="271" t="n"/>
      <c r="E45" s="272" t="n"/>
      <c r="F45" s="11" t="n"/>
      <c r="G45" s="271" t="n"/>
      <c r="H45" s="273" t="n"/>
      <c r="I45" s="271" t="n"/>
      <c r="J45" s="272" t="n"/>
      <c r="K45" s="272" t="n"/>
      <c r="L45" s="41" t="n"/>
      <c r="M45" s="41" t="n"/>
      <c r="N45" s="41" t="n"/>
      <c r="O45" s="41" t="n"/>
      <c r="P45" s="271" t="n"/>
      <c r="Q45" s="272" t="n"/>
      <c r="R45" s="274" t="n"/>
      <c r="S45" s="271" t="n"/>
      <c r="T45" s="272" t="n"/>
      <c r="U45" s="274" t="n"/>
      <c r="V45" s="271" t="n"/>
      <c r="W45" s="272" t="n"/>
      <c r="X45" s="274" t="n"/>
      <c r="Y45" s="38" t="n"/>
      <c r="Z45" s="38" t="n"/>
      <c r="AA45" s="8" t="n"/>
    </row>
  </sheetData>
  <mergeCells count="116">
    <mergeCell ref="Y11:AA11"/>
    <mergeCell ref="P27:R27"/>
    <mergeCell ref="J27:L27"/>
    <mergeCell ref="J35:L35"/>
    <mergeCell ref="M12:O12"/>
    <mergeCell ref="J11:L11"/>
    <mergeCell ref="J9:L10"/>
    <mergeCell ref="P12:R12"/>
    <mergeCell ref="P30:R30"/>
    <mergeCell ref="B32:F32"/>
    <mergeCell ref="B34:F34"/>
    <mergeCell ref="B39:E39"/>
    <mergeCell ref="V12:X12"/>
    <mergeCell ref="J29:L29"/>
    <mergeCell ref="B30:F30"/>
    <mergeCell ref="B28:AA28"/>
    <mergeCell ref="S27:U27"/>
    <mergeCell ref="S43:U45"/>
    <mergeCell ref="Y30:AA30"/>
    <mergeCell ref="S11:U11"/>
    <mergeCell ref="M11:O11"/>
    <mergeCell ref="E12:F12"/>
    <mergeCell ref="Y29:AA29"/>
    <mergeCell ref="B3:C3"/>
    <mergeCell ref="M31:O31"/>
    <mergeCell ref="M9:O10"/>
    <mergeCell ref="G30:I30"/>
    <mergeCell ref="Y31:AA31"/>
    <mergeCell ref="F37:AA37"/>
    <mergeCell ref="B41:E41"/>
    <mergeCell ref="V27:X27"/>
    <mergeCell ref="Y12:AA12"/>
    <mergeCell ref="P9:R10"/>
    <mergeCell ref="P43:R45"/>
    <mergeCell ref="E5:AA7"/>
    <mergeCell ref="M29:O29"/>
    <mergeCell ref="J33:L33"/>
    <mergeCell ref="G32:I32"/>
    <mergeCell ref="Y32:AA32"/>
    <mergeCell ref="S32:U32"/>
    <mergeCell ref="V9:X10"/>
    <mergeCell ref="V43:X45"/>
    <mergeCell ref="P29:R29"/>
    <mergeCell ref="G27:I27"/>
    <mergeCell ref="P31:R31"/>
    <mergeCell ref="B37:E37"/>
    <mergeCell ref="M35:O35"/>
    <mergeCell ref="V29:X29"/>
    <mergeCell ref="J30:L30"/>
    <mergeCell ref="Y35:AA35"/>
    <mergeCell ref="B36:AA36"/>
    <mergeCell ref="G43:H45"/>
    <mergeCell ref="V31:X31"/>
    <mergeCell ref="G9:I10"/>
    <mergeCell ref="B31:F31"/>
    <mergeCell ref="G34:I34"/>
    <mergeCell ref="I43:K45"/>
    <mergeCell ref="M30:O30"/>
    <mergeCell ref="S34:U34"/>
    <mergeCell ref="J32:L32"/>
    <mergeCell ref="M33:O33"/>
    <mergeCell ref="V32:X32"/>
    <mergeCell ref="Y9:AA10"/>
    <mergeCell ref="S30:U30"/>
    <mergeCell ref="G29:I29"/>
    <mergeCell ref="S29:U29"/>
    <mergeCell ref="P33:R33"/>
    <mergeCell ref="M32:O32"/>
    <mergeCell ref="B43:B45"/>
    <mergeCell ref="G31:I31"/>
    <mergeCell ref="B38:AA38"/>
    <mergeCell ref="S31:U31"/>
    <mergeCell ref="G12:I12"/>
    <mergeCell ref="P35:R35"/>
    <mergeCell ref="B25:D25"/>
    <mergeCell ref="V33:X33"/>
    <mergeCell ref="S12:U12"/>
    <mergeCell ref="B40:AA40"/>
    <mergeCell ref="B5:C5"/>
    <mergeCell ref="V35:X35"/>
    <mergeCell ref="J34:L34"/>
    <mergeCell ref="D6:D7"/>
    <mergeCell ref="B9:D12"/>
    <mergeCell ref="B4:C4"/>
    <mergeCell ref="V34:X34"/>
    <mergeCell ref="P11:R11"/>
    <mergeCell ref="B6:C7"/>
    <mergeCell ref="V30:X30"/>
    <mergeCell ref="F39:AA39"/>
    <mergeCell ref="G33:I33"/>
    <mergeCell ref="Y34:AA34"/>
    <mergeCell ref="V11:X11"/>
    <mergeCell ref="M27:O27"/>
    <mergeCell ref="S33:U33"/>
    <mergeCell ref="P32:R32"/>
    <mergeCell ref="E10:F10"/>
    <mergeCell ref="J31:L31"/>
    <mergeCell ref="Y27:AA27"/>
    <mergeCell ref="G35:I35"/>
    <mergeCell ref="J12:L12"/>
    <mergeCell ref="E9:F9"/>
    <mergeCell ref="S35:U35"/>
    <mergeCell ref="B24:D24"/>
    <mergeCell ref="Y33:AA33"/>
    <mergeCell ref="B29:F29"/>
    <mergeCell ref="E11:F11"/>
    <mergeCell ref="B26:D26"/>
    <mergeCell ref="M34:O34"/>
    <mergeCell ref="S9:U10"/>
    <mergeCell ref="G11:I11"/>
    <mergeCell ref="D43:E45"/>
    <mergeCell ref="B33:F33"/>
    <mergeCell ref="F41:AA41"/>
    <mergeCell ref="B27:D27"/>
    <mergeCell ref="P34:R34"/>
    <mergeCell ref="B35:F35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8" scale="40"/>
  <headerFooter>
    <oddHeader>&amp;LHQ-SC-FR-009_x000a_Rev.02_x000a_Feb. 2023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Q34"/>
  <sheetViews>
    <sheetView showGridLines="0" tabSelected="1" zoomScale="70" zoomScaleNormal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3" sqref="J3"/>
    </sheetView>
  </sheetViews>
  <sheetFormatPr baseColWidth="8" defaultRowHeight="14.4"/>
  <cols>
    <col width="25.88671875" customWidth="1" min="1" max="1"/>
    <col width="51.88671875" customWidth="1" min="2" max="2"/>
    <col width="20.77734375" customWidth="1" min="3" max="3"/>
    <col width="22" customWidth="1" min="4" max="9"/>
    <col width="23.33203125" customWidth="1" min="10" max="10"/>
    <col width="28.5546875" customWidth="1" min="11" max="11"/>
    <col width="36.33203125" customWidth="1" min="12" max="12"/>
    <col width="38.88671875" customWidth="1" min="13" max="13"/>
    <col width="25.88671875" customWidth="1" min="14" max="14"/>
    <col width="11.109375" bestFit="1" customWidth="1" min="16" max="16"/>
  </cols>
  <sheetData>
    <row r="1" ht="31.95" customHeight="1">
      <c r="A1" s="96" t="inlineStr">
        <is>
          <t>CONTRACTOR PRICE COMPARISON</t>
        </is>
      </c>
    </row>
    <row r="2" ht="24" customHeight="1">
      <c r="A2" s="70" t="inlineStr">
        <is>
          <t>Project</t>
        </is>
      </c>
      <c r="B2" s="100">
        <f>Sheet1!D4</f>
        <v/>
      </c>
      <c r="C2" s="275" t="n"/>
      <c r="D2" s="71" t="inlineStr">
        <is>
          <t>Leader</t>
        </is>
      </c>
      <c r="E2" s="89">
        <f>IFERROR(INDEX($B$9:$B$15,MATCH(_xlfn.MINIFS($I$9:$I$15,$I$9:$I$15,"&gt;0"),$I$9:$I$15,0)),"—")</f>
        <v/>
      </c>
      <c r="F2" s="66" t="n"/>
      <c r="G2" s="72" t="inlineStr">
        <is>
          <t>Legend</t>
        </is>
      </c>
      <c r="H2" s="73" t="n"/>
      <c r="I2" s="66" t="n"/>
      <c r="J2" s="66" t="n"/>
      <c r="K2" s="66" t="n"/>
      <c r="L2" s="66" t="n"/>
      <c r="M2" s="66" t="n"/>
      <c r="N2" s="66" t="n"/>
    </row>
    <row r="3" ht="24" customHeight="1">
      <c r="A3" s="70" t="inlineStr">
        <is>
          <t>Procurement Item</t>
        </is>
      </c>
      <c r="B3" s="100">
        <f>Sheet1!D6</f>
        <v/>
      </c>
      <c r="C3" s="275" t="n"/>
      <c r="D3" s="71" t="inlineStr">
        <is>
          <t>Best Price incl. VAT</t>
        </is>
      </c>
      <c r="E3" s="276">
        <f>IFERROR(_xlfn.MINIFS($I$9:$I$15,$I$9:$I$15,"&gt;0"),0)</f>
        <v/>
      </c>
      <c r="F3" s="66" t="n"/>
      <c r="G3" s="74" t="inlineStr">
        <is>
          <t>Best Price</t>
        </is>
      </c>
      <c r="H3" s="74" t="inlineStr">
        <is>
          <t>Green</t>
        </is>
      </c>
      <c r="I3" s="66" t="n"/>
      <c r="J3" s="66" t="n"/>
      <c r="K3" s="66" t="n"/>
      <c r="L3" s="66" t="n"/>
      <c r="M3" s="66" t="n"/>
      <c r="N3" s="66" t="n"/>
    </row>
    <row r="4" ht="24" customHeight="1">
      <c r="A4" s="70" t="inlineStr">
        <is>
          <t>Last Updated</t>
        </is>
      </c>
      <c r="B4" s="100" t="inlineStr">
        <is>
          <t>10.08.2026</t>
        </is>
      </c>
      <c r="C4" s="275" t="n"/>
      <c r="D4" s="71" t="inlineStr">
        <is>
          <t>Valid Bids</t>
        </is>
      </c>
      <c r="E4" s="89">
        <f>COUNTIF($I$9:$I$15,"&gt;0")</f>
        <v/>
      </c>
      <c r="F4" s="66" t="n"/>
      <c r="G4" s="74" t="inlineStr">
        <is>
          <t>Incomplete Data</t>
        </is>
      </c>
      <c r="H4" s="74" t="inlineStr">
        <is>
          <t>Yellow</t>
        </is>
      </c>
      <c r="I4" s="66" t="n"/>
      <c r="J4" s="66" t="n"/>
      <c r="K4" s="66" t="n"/>
      <c r="L4" s="66" t="n"/>
      <c r="M4" s="66" t="n"/>
      <c r="N4" s="66" t="n"/>
    </row>
    <row r="5" ht="24" customHeight="1">
      <c r="A5" s="70" t="inlineStr">
        <is>
          <t>Source</t>
        </is>
      </c>
      <c r="B5" s="100" t="inlineStr">
        <is>
          <t>Sheet1 — Commercial Evaluation</t>
        </is>
      </c>
      <c r="C5" s="275" t="n"/>
      <c r="D5" s="71" t="inlineStr">
        <is>
          <t>Savings vs. Highest Price</t>
        </is>
      </c>
      <c r="E5" s="276">
        <f>IF(COUNTIF($I$9:$I$15,"&gt;0")&gt;1,MAX($I$9:$I$15)-_xlfn.MINIFS($I$9:$I$15,$I$9:$I$15,"&gt;0"),0)</f>
        <v/>
      </c>
      <c r="F5" s="66" t="n"/>
      <c r="G5" s="74" t="inlineStr">
        <is>
          <t>No Prices / Not Provided</t>
        </is>
      </c>
      <c r="H5" s="74" t="inlineStr">
        <is>
          <t>Red / Gray</t>
        </is>
      </c>
      <c r="I5" s="66" t="n"/>
      <c r="J5" s="66" t="n"/>
      <c r="K5" s="66" t="n"/>
      <c r="L5" s="66" t="n"/>
      <c r="M5" s="66" t="n"/>
      <c r="N5" s="66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</row>
    <row r="7" ht="25.95" customHeight="1">
      <c r="A7" s="97" t="inlineStr">
        <is>
          <t>FINAL BID COMPARISON</t>
        </is>
      </c>
    </row>
    <row r="8" ht="46.05" customFormat="1" customHeight="1" s="186">
      <c r="A8" s="67" t="inlineStr">
        <is>
          <t>No.</t>
        </is>
      </c>
      <c r="B8" s="67" t="inlineStr">
        <is>
          <t>Vendor</t>
        </is>
      </c>
      <c r="C8" s="67" t="inlineStr">
        <is>
          <t>Offer No.</t>
        </is>
      </c>
      <c r="D8" s="67" t="inlineStr">
        <is>
          <t>Currency / Rate</t>
        </is>
      </c>
      <c r="E8" s="67" t="inlineStr">
        <is>
          <t>Priced Items</t>
        </is>
      </c>
      <c r="F8" s="67" t="inlineStr">
        <is>
          <t>Coverage</t>
        </is>
      </c>
      <c r="G8" s="67" t="inlineStr">
        <is>
          <t>Amount excl. VAT</t>
        </is>
      </c>
      <c r="H8" s="67" t="inlineStr">
        <is>
          <t>VAT</t>
        </is>
      </c>
      <c r="I8" s="67" t="inlineStr">
        <is>
          <t>Total incl. VAT</t>
        </is>
      </c>
      <c r="J8" s="67" t="inlineStr">
        <is>
          <t>Variance vs. Min</t>
        </is>
      </c>
      <c r="K8" s="67" t="inlineStr">
        <is>
          <t>Rank</t>
        </is>
      </c>
      <c r="L8" s="67" t="inlineStr">
        <is>
          <t>Payment Terms</t>
        </is>
      </c>
      <c r="M8" s="67" t="inlineStr">
        <is>
          <t>Remarks</t>
        </is>
      </c>
      <c r="N8" s="67" t="inlineStr">
        <is>
          <t>Status</t>
        </is>
      </c>
    </row>
    <row r="9">
      <c r="A9" s="67" t="n">
        <v>1</v>
      </c>
      <c r="B9" s="66">
        <f t="array" ref="B9">IF(INDEX(Sheet1!$G$9:$AA$9,1,1+($A9-1)*3)&lt;&gt;"",INDEX(Sheet1!$G$9:$AA$9,1,1+($A9-1)*3),"Not provided")</f>
        <v/>
      </c>
      <c r="C9" s="67">
        <f t="array" ref="C9">IF(INDEX(Sheet1!$G$11:$AA$11,1,1+($A9-1)*3)="","",INDEX(Sheet1!$G$11:$AA$11,1,1+($A9-1)*3))</f>
        <v/>
      </c>
      <c r="D9" s="67">
        <f t="array" ref="D9">IF(INDEX(Sheet1!$G$9:$AA$9,1,1+($A9-1)*3)="","",IF(INDEX(Sheet1!$G$12:$AA$12,1,1+($A9-1)*3)="","KZT",INDEX(Sheet1!$G$12:$AA$12,1,1+($A9-1)*3)))</f>
        <v/>
      </c>
      <c r="E9" s="67">
        <f t="array" ref="E9">IF(INDEX(Sheet1!$G$9:$AA$9,1,1+($A9-1)*3)="","",COUNTIF(INDEX(Sheet1!$H$14:$AA$23,0,1+($A9-1)*3),"&gt;0"))</f>
        <v/>
      </c>
      <c r="F9" s="277">
        <f>IF(E9="","",E9/ROWS(Sheet1!$H$14:$H$23))</f>
        <v/>
      </c>
      <c r="G9" s="278">
        <f t="array" ref="G9">IF(INDEX(Sheet1!$G$9:$AA$9,1,1+($A9-1)*3)="","",INDEX(Sheet1!$H$24:$AA$24,1,1+($A9-1)*3))</f>
        <v/>
      </c>
      <c r="H9" s="277">
        <f t="array" ref="H9">IF(INDEX(Sheet1!$G$9:$AA$9,1,1+($A9-1)*3)="","",INDEX(Sheet1!$H$26:$AA$26,1,1+($A9-1)*3))</f>
        <v/>
      </c>
      <c r="I9" s="278">
        <f t="array" ref="I9">IF(INDEX(Sheet1!$G$9:$AA$9,1,1+($A9-1)*3)="","",INDEX(Sheet1!$G$27:$AA$27,1,1+($A9-1)*3))</f>
        <v/>
      </c>
      <c r="J9" s="277">
        <f>IF(OR(N9="Not provided",N9="No prices"),"",IFERROR(I9/$E$3-1,""))</f>
        <v/>
      </c>
      <c r="K9" s="87">
        <f>IF(OR(N9="Not provided",N9="No prices"),"",IFERROR(COUNTIFS($I$9:$I$15,"&gt;0",$I$9:$I$15,"&lt;"&amp;I9)+1,""))</f>
        <v/>
      </c>
      <c r="L9" s="66">
        <f t="array" ref="L9">IF(INDEX(Sheet1!$G$29:$AA$29,1,1+($A9-1)*3)="","",INDEX(Sheet1!$G$29:$AA$29,1,1+($A9-1)*3))</f>
        <v/>
      </c>
      <c r="M9" s="66">
        <f t="array" ref="M9">IF(INDEX(Sheet1!$G$35:$AA$35,1,1+($A9-1)*3)="","",INDEX(Sheet1!$G$35:$AA$35,1,1+($A9-1)*3))</f>
        <v/>
      </c>
      <c r="N9" s="66">
        <f>IF(B9="Not provided","Not provided",IF(I9&lt;=0,"No prices",IF(F9&lt;1,"Incomplete bid","Ready")))</f>
        <v/>
      </c>
    </row>
    <row r="10">
      <c r="A10" s="67" t="n">
        <v>2</v>
      </c>
      <c r="B10" s="66">
        <f t="array" ref="B10">IF(INDEX(Sheet1!$G$9:$AA$9,1,1+($A10-1)*3)&lt;&gt;"",INDEX(Sheet1!$G$9:$AA$9,1,1+($A10-1)*3),"Not provided")</f>
        <v/>
      </c>
      <c r="C10" s="67">
        <f t="array" ref="C10">IF(INDEX(Sheet1!$G$11:$AA$11,1,1+($A10-1)*3)="","",INDEX(Sheet1!$G$11:$AA$11,1,1+($A10-1)*3))</f>
        <v/>
      </c>
      <c r="D10" s="67">
        <f t="array" ref="D10">IF(INDEX(Sheet1!$G$9:$AA$9,1,1+($A10-1)*3)="","",IF(INDEX(Sheet1!$G$12:$AA$12,1,1+($A10-1)*3)="","KZT",INDEX(Sheet1!$G$12:$AA$12,1,1+($A10-1)*3)))</f>
        <v/>
      </c>
      <c r="E10" s="67">
        <f t="array" ref="E10">IF(INDEX(Sheet1!$G$9:$AA$9,1,1+($A10-1)*3)="","",COUNTIF(INDEX(Sheet1!$H$14:$AA$23,0,1+($A10-1)*3),"&gt;0"))</f>
        <v/>
      </c>
      <c r="F10" s="277">
        <f>IF(E10="","",E10/ROWS(Sheet1!$H$14:$H$23))</f>
        <v/>
      </c>
      <c r="G10" s="278">
        <f t="array" ref="G10">IF(INDEX(Sheet1!$G$9:$AA$9,1,1+($A10-1)*3)="","",INDEX(Sheet1!$H$24:$AA$24,1,1+($A10-1)*3))</f>
        <v/>
      </c>
      <c r="H10" s="277">
        <f t="array" ref="H10">IF(INDEX(Sheet1!$G$9:$AA$9,1,1+($A10-1)*3)="","",INDEX(Sheet1!$H$26:$AA$26,1,1+($A10-1)*3))</f>
        <v/>
      </c>
      <c r="I10" s="278">
        <f t="array" ref="I10">IF(INDEX(Sheet1!$G$9:$AA$9,1,1+($A10-1)*3)="","",INDEX(Sheet1!$G$27:$AA$27,1,1+($A10-1)*3))</f>
        <v/>
      </c>
      <c r="J10" s="277">
        <f>IF(OR(N10="Not provided",N10="No prices"),"",IFERROR(I10/$E$3-1,""))</f>
        <v/>
      </c>
      <c r="K10" s="87">
        <f>IF(OR(N10="Not provided",N10="No prices"),"",IFERROR(COUNTIFS($I$9:$I$15,"&gt;0",$I$9:$I$15,"&lt;"&amp;I10)+1,""))</f>
        <v/>
      </c>
      <c r="L10" s="66">
        <f t="array" ref="L10">IF(INDEX(Sheet1!$G$29:$AA$29,1,1+($A10-1)*3)="","",INDEX(Sheet1!$G$29:$AA$29,1,1+($A10-1)*3))</f>
        <v/>
      </c>
      <c r="M10" s="66">
        <f t="array" ref="M10">IF(INDEX(Sheet1!$G$35:$AA$35,1,1+($A10-1)*3)="","",INDEX(Sheet1!$G$35:$AA$35,1,1+($A10-1)*3))</f>
        <v/>
      </c>
      <c r="N10" s="66">
        <f>IF(B10="Not provided","Not provided",IF(I10&lt;=0,"No prices",IF(F10&lt;1,"Incomplete bid","Ready")))</f>
        <v/>
      </c>
    </row>
    <row r="11" ht="27.6" customHeight="1">
      <c r="A11" s="67" t="n">
        <v>3</v>
      </c>
      <c r="B11" s="66">
        <f t="array" ref="B11">IF(INDEX(Sheet1!$G$9:$AA$9,1,1+($A11-1)*3)&lt;&gt;"",INDEX(Sheet1!$G$9:$AA$9,1,1+($A11-1)*3),"Not provided")</f>
        <v/>
      </c>
      <c r="C11" s="67">
        <f t="array" ref="C11">IF(INDEX(Sheet1!$G$11:$AA$11,1,1+($A11-1)*3)="","",INDEX(Sheet1!$G$11:$AA$11,1,1+($A11-1)*3))</f>
        <v/>
      </c>
      <c r="D11" s="67">
        <f t="array" ref="D11">IF(INDEX(Sheet1!$G$9:$AA$9,1,1+($A11-1)*3)="","",IF(INDEX(Sheet1!$G$12:$AA$12,1,1+($A11-1)*3)="","KZT",INDEX(Sheet1!$G$12:$AA$12,1,1+($A11-1)*3)))</f>
        <v/>
      </c>
      <c r="E11" s="67">
        <f t="array" ref="E11">IF(INDEX(Sheet1!$G$9:$AA$9,1,1+($A11-1)*3)="","",COUNTIF(INDEX(Sheet1!$H$14:$AA$23,0,1+($A11-1)*3),"&gt;0"))</f>
        <v/>
      </c>
      <c r="F11" s="277">
        <f>IF(E11="","",E11/ROWS(Sheet1!$H$14:$H$23))</f>
        <v/>
      </c>
      <c r="G11" s="278">
        <f t="array" ref="G11">IF(INDEX(Sheet1!$G$9:$AA$9,1,1+($A11-1)*3)="","",INDEX(Sheet1!$H$24:$AA$24,1,1+($A11-1)*3))</f>
        <v/>
      </c>
      <c r="H11" s="277">
        <f t="array" ref="H11">IF(INDEX(Sheet1!$G$9:$AA$9,1,1+($A11-1)*3)="","",INDEX(Sheet1!$H$26:$AA$26,1,1+($A11-1)*3))</f>
        <v/>
      </c>
      <c r="I11" s="278">
        <f t="array" ref="I11">IF(INDEX(Sheet1!$G$9:$AA$9,1,1+($A11-1)*3)="","",INDEX(Sheet1!$G$27:$AA$27,1,1+($A11-1)*3))</f>
        <v/>
      </c>
      <c r="J11" s="277">
        <f>IF(OR(N11="Not provided",N11="No prices"),"",IFERROR(I11/$E$3-1,""))</f>
        <v/>
      </c>
      <c r="K11" s="87">
        <f>IF(OR(N11="Not provided",N11="No prices"),"",IFERROR(COUNTIFS($I$9:$I$15,"&gt;0",$I$9:$I$15,"&lt;"&amp;I11)+1,""))</f>
        <v/>
      </c>
      <c r="L11" s="66">
        <f t="array" ref="L11">IF(INDEX(Sheet1!$G$29:$AA$29,1,1+($A11-1)*3)="","",INDEX(Sheet1!$G$29:$AA$29,1,1+($A11-1)*3))</f>
        <v/>
      </c>
      <c r="M11" s="66">
        <f t="array" ref="M11">IF(INDEX(Sheet1!$G$35:$AA$35,1,1+($A11-1)*3)="","",INDEX(Sheet1!$G$35:$AA$35,1,1+($A11-1)*3))</f>
        <v/>
      </c>
      <c r="N11" s="66">
        <f>IF(B11="Not provided","Not provided",IF(I11&lt;=0,"No prices",IF(F11&lt;1,"Incomplete bid","Ready")))</f>
        <v/>
      </c>
    </row>
    <row r="12" ht="27.6" customHeight="1">
      <c r="A12" s="67" t="n">
        <v>4</v>
      </c>
      <c r="B12" s="66">
        <f t="array" ref="B12">IF(INDEX(Sheet1!$G$9:$AA$9,1,1+($A12-1)*3)&lt;&gt;"",INDEX(Sheet1!$G$9:$AA$9,1,1+($A12-1)*3),"Not provided")</f>
        <v/>
      </c>
      <c r="C12" s="67">
        <f t="array" ref="C12">IF(INDEX(Sheet1!$G$11:$AA$11,1,1+($A12-1)*3)="","",INDEX(Sheet1!$G$11:$AA$11,1,1+($A12-1)*3))</f>
        <v/>
      </c>
      <c r="D12" s="67">
        <f t="array" ref="D12">IF(INDEX(Sheet1!$G$9:$AA$9,1,1+($A12-1)*3)="","",IF(INDEX(Sheet1!$G$12:$AA$12,1,1+($A12-1)*3)="","KZT",INDEX(Sheet1!$G$12:$AA$12,1,1+($A12-1)*3)))</f>
        <v/>
      </c>
      <c r="E12" s="67">
        <f t="array" ref="E12">IF(INDEX(Sheet1!$G$9:$AA$9,1,1+($A12-1)*3)="","",COUNTIF(INDEX(Sheet1!$H$14:$AA$23,0,1+($A12-1)*3),"&gt;0"))</f>
        <v/>
      </c>
      <c r="F12" s="277">
        <f>IF(E12="","",E12/ROWS(Sheet1!$H$14:$H$23))</f>
        <v/>
      </c>
      <c r="G12" s="278">
        <f t="array" ref="G12">IF(INDEX(Sheet1!$G$9:$AA$9,1,1+($A12-1)*3)="","",INDEX(Sheet1!$H$24:$AA$24,1,1+($A12-1)*3))</f>
        <v/>
      </c>
      <c r="H12" s="277">
        <f t="array" ref="H12">IF(INDEX(Sheet1!$G$9:$AA$9,1,1+($A12-1)*3)="","",INDEX(Sheet1!$H$26:$AA$26,1,1+($A12-1)*3))</f>
        <v/>
      </c>
      <c r="I12" s="278">
        <f t="array" ref="I12">IF(INDEX(Sheet1!$G$9:$AA$9,1,1+($A12-1)*3)="","",INDEX(Sheet1!$G$27:$AA$27,1,1+($A12-1)*3))</f>
        <v/>
      </c>
      <c r="J12" s="277">
        <f>IF(OR(N12="Not provided",N12="No prices"),"",IFERROR(I12/$E$3-1,""))</f>
        <v/>
      </c>
      <c r="K12" s="87">
        <f>IF(OR(N12="Not provided",N12="No prices"),"",IFERROR(COUNTIFS($I$9:$I$15,"&gt;0",$I$9:$I$15,"&lt;"&amp;I12)+1,""))</f>
        <v/>
      </c>
      <c r="L12" s="66">
        <f t="array" ref="L12">IF(INDEX(Sheet1!$G$29:$AA$29,1,1+($A12-1)*3)="","",INDEX(Sheet1!$G$29:$AA$29,1,1+($A12-1)*3))</f>
        <v/>
      </c>
      <c r="M12" s="66">
        <f t="array" ref="M12">IF(INDEX(Sheet1!$G$35:$AA$35,1,1+($A12-1)*3)="","",INDEX(Sheet1!$G$35:$AA$35,1,1+($A12-1)*3))</f>
        <v/>
      </c>
      <c r="N12" s="66">
        <f>IF(B12="Not provided","Not provided",IF(I12&lt;=0,"No prices",IF(F12&lt;1,"Incomplete bid","Ready")))</f>
        <v/>
      </c>
    </row>
    <row r="13">
      <c r="A13" s="67" t="n">
        <v>5</v>
      </c>
      <c r="B13" s="66">
        <f t="array" ref="B13">IF(INDEX(Sheet1!$G$9:$AA$9,1,1+($A13-1)*3)&lt;&gt;"",INDEX(Sheet1!$G$9:$AA$9,1,1+($A13-1)*3),"Not provided")</f>
        <v/>
      </c>
      <c r="C13" s="67">
        <f t="array" ref="C13">IF(INDEX(Sheet1!$G$11:$AA$11,1,1+($A13-1)*3)="","",INDEX(Sheet1!$G$11:$AA$11,1,1+($A13-1)*3))</f>
        <v/>
      </c>
      <c r="D13" s="67">
        <f t="array" ref="D13">IF(INDEX(Sheet1!$G$9:$AA$9,1,1+($A13-1)*3)="","",IF(INDEX(Sheet1!$G$12:$AA$12,1,1+($A13-1)*3)="","KZT",INDEX(Sheet1!$G$12:$AA$12,1,1+($A13-1)*3)))</f>
        <v/>
      </c>
      <c r="E13" s="67">
        <f t="array" ref="E13">IF(INDEX(Sheet1!$G$9:$AA$9,1,1+($A13-1)*3)="","",COUNTIF(INDEX(Sheet1!$H$14:$AA$23,0,1+($A13-1)*3),"&gt;0"))</f>
        <v/>
      </c>
      <c r="F13" s="277">
        <f>IF(E13="","",E13/ROWS(Sheet1!$H$14:$H$23))</f>
        <v/>
      </c>
      <c r="G13" s="278">
        <f t="array" ref="G13">IF(INDEX(Sheet1!$G$9:$AA$9,1,1+($A13-1)*3)="","",INDEX(Sheet1!$H$24:$AA$24,1,1+($A13-1)*3))</f>
        <v/>
      </c>
      <c r="H13" s="277">
        <f t="array" ref="H13">IF(INDEX(Sheet1!$G$9:$AA$9,1,1+($A13-1)*3)="","",INDEX(Sheet1!$H$26:$AA$26,1,1+($A13-1)*3))</f>
        <v/>
      </c>
      <c r="I13" s="278">
        <f t="array" ref="I13">IF(INDEX(Sheet1!$G$9:$AA$9,1,1+($A13-1)*3)="","",INDEX(Sheet1!$G$27:$AA$27,1,1+($A13-1)*3))</f>
        <v/>
      </c>
      <c r="J13" s="277">
        <f>IF(OR(N13="Not provided",N13="No prices"),"",IFERROR(I13/$E$3-1,""))</f>
        <v/>
      </c>
      <c r="K13" s="87">
        <f>IF(OR(N13="Not provided",N13="No prices"),"",IFERROR(COUNTIFS($I$9:$I$15,"&gt;0",$I$9:$I$15,"&lt;"&amp;I13)+1,""))</f>
        <v/>
      </c>
      <c r="L13" s="66">
        <f t="array" ref="L13">IF(INDEX(Sheet1!$G$29:$AA$29,1,1+($A13-1)*3)="","",INDEX(Sheet1!$G$29:$AA$29,1,1+($A13-1)*3))</f>
        <v/>
      </c>
      <c r="M13" s="66">
        <f t="array" ref="M13">IF(INDEX(Sheet1!$G$35:$AA$35,1,1+($A13-1)*3)="","",INDEX(Sheet1!$G$35:$AA$35,1,1+($A13-1)*3))</f>
        <v/>
      </c>
      <c r="N13" s="66">
        <f>IF(B13="Not provided","Not provided",IF(I13&lt;=0,"No prices",IF(F13&lt;1,"Incomplete bid","Ready")))</f>
        <v/>
      </c>
    </row>
    <row r="14">
      <c r="A14" s="67" t="n">
        <v>6</v>
      </c>
      <c r="B14" s="66">
        <f t="array" ref="B14">IF(INDEX(Sheet1!$G$9:$AA$9,1,1+($A14-1)*3)&lt;&gt;"",INDEX(Sheet1!$G$9:$AA$9,1,1+($A14-1)*3),"Not provided")</f>
        <v/>
      </c>
      <c r="C14" s="67">
        <f t="array" ref="C14">IF(INDEX(Sheet1!$G$11:$AA$11,1,1+($A14-1)*3)="","",INDEX(Sheet1!$G$11:$AA$11,1,1+($A14-1)*3))</f>
        <v/>
      </c>
      <c r="D14" s="67">
        <f t="array" ref="D14">IF(INDEX(Sheet1!$G$9:$AA$9,1,1+($A14-1)*3)="","",IF(INDEX(Sheet1!$G$12:$AA$12,1,1+($A14-1)*3)="","KZT",INDEX(Sheet1!$G$12:$AA$12,1,1+($A14-1)*3)))</f>
        <v/>
      </c>
      <c r="E14" s="67">
        <f t="array" ref="E14">IF(INDEX(Sheet1!$G$9:$AA$9,1,1+($A14-1)*3)="","",COUNTIF(INDEX(Sheet1!$H$14:$AA$23,0,1+($A14-1)*3),"&gt;0"))</f>
        <v/>
      </c>
      <c r="F14" s="277">
        <f>IF(E14="","",E14/ROWS(Sheet1!$H$14:$H$23))</f>
        <v/>
      </c>
      <c r="G14" s="278">
        <f t="array" ref="G14">IF(INDEX(Sheet1!$G$9:$AA$9,1,1+($A14-1)*3)="","",INDEX(Sheet1!$H$24:$AA$24,1,1+($A14-1)*3))</f>
        <v/>
      </c>
      <c r="H14" s="277">
        <f t="array" ref="H14">IF(INDEX(Sheet1!$G$9:$AA$9,1,1+($A14-1)*3)="","",INDEX(Sheet1!$H$26:$AA$26,1,1+($A14-1)*3))</f>
        <v/>
      </c>
      <c r="I14" s="278">
        <f t="array" ref="I14">IF(INDEX(Sheet1!$G$9:$AA$9,1,1+($A14-1)*3)="","",INDEX(Sheet1!$G$27:$AA$27,1,1+($A14-1)*3))</f>
        <v/>
      </c>
      <c r="J14" s="277">
        <f>IF(OR(N14="Not provided",N14="No prices"),"",IFERROR(I14/$E$3-1,""))</f>
        <v/>
      </c>
      <c r="K14" s="87">
        <f>IF(OR(N14="Not provided",N14="No prices"),"",IFERROR(COUNTIFS($I$9:$I$15,"&gt;0",$I$9:$I$15,"&lt;"&amp;I14)+1,""))</f>
        <v/>
      </c>
      <c r="L14" s="66">
        <f t="array" ref="L14">IF(INDEX(Sheet1!$G$29:$AA$29,1,1+($A14-1)*3)="","",INDEX(Sheet1!$G$29:$AA$29,1,1+($A14-1)*3))</f>
        <v/>
      </c>
      <c r="M14" s="66">
        <f t="array" ref="M14">IF(INDEX(Sheet1!$G$35:$AA$35,1,1+($A14-1)*3)="","",INDEX(Sheet1!$G$35:$AA$35,1,1+($A14-1)*3))</f>
        <v/>
      </c>
      <c r="N14" s="66">
        <f>IF(B14="Not provided","Not provided",IF(I14&lt;=0,"No prices",IF(F14&lt;1,"Incomplete bid","Ready")))</f>
        <v/>
      </c>
    </row>
    <row r="15">
      <c r="A15" s="83" t="n">
        <v>7</v>
      </c>
      <c r="B15" s="66">
        <f t="array" ref="B15">IF(INDEX(Sheet1!$G$9:$AA$9,1,1+($A15-1)*3)&lt;&gt;"",INDEX(Sheet1!$G$9:$AA$9,1,1+($A15-1)*3),"Not provided")</f>
        <v/>
      </c>
      <c r="C15" s="83">
        <f t="array" ref="C15">IF(INDEX(Sheet1!$G$11:$AA$11,1,1+($A15-1)*3)="","",INDEX(Sheet1!$G$11:$AA$11,1,1+($A15-1)*3))</f>
        <v/>
      </c>
      <c r="D15" s="83">
        <f t="array" ref="D15">IF(INDEX(Sheet1!$G$9:$AA$9,1,1+($A15-1)*3)="","",IF(INDEX(Sheet1!$G$12:$AA$12,1,1+($A15-1)*3)="","KZT",INDEX(Sheet1!$G$12:$AA$12,1,1+($A15-1)*3)))</f>
        <v/>
      </c>
      <c r="E15" s="83">
        <f t="array" ref="E15">IF(INDEX(Sheet1!$G$9:$AA$9,1,1+($A15-1)*3)="","",COUNTIF(INDEX(Sheet1!$H$14:$AA$23,0,1+($A15-1)*3),"&gt;0"))</f>
        <v/>
      </c>
      <c r="F15" s="279">
        <f>IF(E15="","",E15/ROWS(Sheet1!$H$14:$H$23))</f>
        <v/>
      </c>
      <c r="G15" s="280">
        <f t="array" ref="G15">IF(INDEX(Sheet1!$G$9:$AA$9,1,1+($A15-1)*3)="","",INDEX(Sheet1!$H$24:$AA$24,1,1+($A15-1)*3))</f>
        <v/>
      </c>
      <c r="H15" s="279">
        <f t="array" ref="H15">IF(INDEX(Sheet1!$G$9:$AA$9,1,1+($A15-1)*3)="","",INDEX(Sheet1!$H$26:$AA$26,1,1+($A15-1)*3))</f>
        <v/>
      </c>
      <c r="I15" s="280">
        <f t="array" ref="I15">IF(INDEX(Sheet1!$G$9:$AA$9,1,1+($A15-1)*3)="","",INDEX(Sheet1!$G$27:$AA$27,1,1+($A15-1)*3))</f>
        <v/>
      </c>
      <c r="J15" s="279">
        <f>IF(OR(N15="Not provided",N15="No prices"),"",IFERROR(I15/$E$3-1,""))</f>
        <v/>
      </c>
      <c r="K15" s="87">
        <f>IF(OR(N15="Not provided",N15="No prices"),"",IFERROR(COUNTIFS($I$9:$I$15,"&gt;0",$I$9:$I$15,"&lt;"&amp;I15)+1,""))</f>
        <v/>
      </c>
      <c r="L15" s="84">
        <f t="array" ref="L15">IF(INDEX(Sheet1!$G$29:$AA$29,1,1+($A15-1)*3)="","",INDEX(Sheet1!$G$29:$AA$29,1,1+($A15-1)*3))</f>
        <v/>
      </c>
      <c r="M15" s="84">
        <f t="array" ref="M15">IF(INDEX(Sheet1!$G$35:$AA$35,1,1+($A15-1)*3)="","",INDEX(Sheet1!$G$35:$AA$35,1,1+($A15-1)*3))</f>
        <v/>
      </c>
      <c r="N15" s="84">
        <f>IF(B15="Not provided","Not provided",IF(I15&lt;=0,"No prices",IF(F15&lt;1,"Incomplete bid","Ready")))</f>
        <v/>
      </c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</row>
    <row r="17" ht="25.95" customHeight="1">
      <c r="A17" s="96" t="inlineStr">
        <is>
          <t>RECOMMENDATION AND REVIEW</t>
        </is>
      </c>
    </row>
    <row r="18" ht="25.95" customHeight="1">
      <c r="A18" s="70" t="inlineStr">
        <is>
          <t>Recommended Vendor</t>
        </is>
      </c>
      <c r="B18" s="90">
        <f>IF(COUNTIF($I$9:$I$15,"&gt;0")=0,"No valid bids",INDEX($B$9:$B$15,MATCH(_xlfn.MINIFS($I$9:$I$15,$I$9:$I$15,"&gt;0"),$I$9:$I$15,0)))</f>
        <v/>
      </c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75" t="n"/>
    </row>
    <row r="19" ht="25.95" customHeight="1">
      <c r="A19" s="70" t="inlineStr">
        <is>
          <t>Price incl. VAT</t>
        </is>
      </c>
      <c r="B19" s="282">
        <f>IFERROR(_xlfn.MINIFS($I$9:$I$15,$I$9:$I$15,"&gt;0"),0)</f>
        <v/>
      </c>
      <c r="C19" s="281" t="n"/>
      <c r="D19" s="281" t="n"/>
      <c r="E19" s="281" t="n"/>
      <c r="F19" s="281" t="n"/>
      <c r="G19" s="281" t="n"/>
      <c r="H19" s="281" t="n"/>
      <c r="I19" s="281" t="n"/>
      <c r="J19" s="281" t="n"/>
      <c r="K19" s="281" t="n"/>
      <c r="L19" s="281" t="n"/>
      <c r="M19" s="281" t="n"/>
      <c r="N19" s="275" t="n"/>
    </row>
    <row r="20" ht="43.95" customHeight="1">
      <c r="A20" s="70" t="inlineStr">
        <is>
          <t>Rationale</t>
        </is>
      </c>
      <c r="B20" s="90">
        <f>IF(COUNTIF($I$9:$I$15,"&gt;0")=0,"Enter vendor prices.",IF(COUNTIF($I$9:$I$15,"&gt;0")=1,"Only one price quotation received — at least two are required for a meaningful comparison.","Lowest total price among valid bids;"))</f>
        <v/>
      </c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  <c r="M20" s="281" t="n"/>
      <c r="N20" s="275" t="n"/>
    </row>
    <row r="21" ht="31.95" customHeight="1">
      <c r="A21" s="70" t="inlineStr">
        <is>
          <t>Review</t>
        </is>
      </c>
      <c r="B21" s="90">
        <f>IF(COUNTIF($I$9:$I$15,"&gt;0")&lt;2,"Comparison is limited: fewer than two valid bids.","Comparison is ready for a commercial decision.")</f>
        <v/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  <c r="N21" s="275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</row>
    <row r="23" ht="25.95" customHeight="1">
      <c r="A23" s="95" t="inlineStr">
        <is>
          <t>ITEM-BY-ITEM COMPARISON</t>
        </is>
      </c>
      <c r="B23" s="283" t="n"/>
      <c r="C23" s="283" t="n"/>
      <c r="D23" s="283" t="n"/>
      <c r="E23" s="283" t="n"/>
      <c r="F23" s="283" t="n"/>
      <c r="G23" s="283" t="n"/>
      <c r="H23" s="283" t="n"/>
      <c r="I23" s="283" t="n"/>
      <c r="J23" s="283" t="n"/>
      <c r="K23" s="283" t="n"/>
      <c r="L23" s="283" t="n"/>
      <c r="M23" s="283" t="n"/>
      <c r="N23" s="283" t="n"/>
      <c r="O23" s="283" t="n"/>
      <c r="P23" s="283" t="n"/>
    </row>
    <row r="24" ht="46.05" customHeight="1">
      <c r="A24" s="75" t="inlineStr">
        <is>
          <t>No.</t>
        </is>
      </c>
      <c r="B24" s="75" t="inlineStr">
        <is>
          <t>Service / Item</t>
        </is>
      </c>
      <c r="C24" s="75" t="inlineStr">
        <is>
          <t>Qty</t>
        </is>
      </c>
      <c r="D24" s="75">
        <f>$B$9</f>
        <v/>
      </c>
      <c r="E24" s="75">
        <f>$B$10</f>
        <v/>
      </c>
      <c r="F24" s="75">
        <f>$B$11</f>
        <v/>
      </c>
      <c r="G24" s="75">
        <f>$B$12</f>
        <v/>
      </c>
      <c r="H24" s="75">
        <f>$B$13</f>
        <v/>
      </c>
      <c r="I24" s="75">
        <f>$B$14</f>
        <v/>
      </c>
      <c r="J24" s="75">
        <f>$B$15</f>
        <v/>
      </c>
      <c r="K24" s="75" t="n"/>
      <c r="L24" s="75" t="n"/>
      <c r="M24" s="75" t="inlineStr">
        <is>
          <t>Lowest Price</t>
        </is>
      </c>
      <c r="N24" s="75" t="inlineStr">
        <is>
          <t>Best Vendor</t>
        </is>
      </c>
      <c r="O24" s="75" t="inlineStr">
        <is>
          <t>Variance vs. Min</t>
        </is>
      </c>
      <c r="P24" s="75" t="inlineStr">
        <is>
          <t>Status</t>
        </is>
      </c>
      <c r="Q24" s="66" t="n"/>
    </row>
    <row r="25" ht="55.2" customHeight="1">
      <c r="A25" s="76" t="n">
        <v>1</v>
      </c>
      <c r="B25" s="77">
        <f>Sheet1!D14</f>
        <v/>
      </c>
      <c r="C25" s="76">
        <f>Sheet1!E14</f>
        <v/>
      </c>
      <c r="D25" s="284">
        <f>IF(Sheet1!H14&gt;0,Sheet1!H14,"")</f>
        <v/>
      </c>
      <c r="E25" s="284">
        <f>IF(Sheet1!K14&gt;0,Sheet1!K14,"")</f>
        <v/>
      </c>
      <c r="F25" s="284">
        <f>IF(Sheet1!N14&gt;0,Sheet1!N14,"")</f>
        <v/>
      </c>
      <c r="G25" s="284">
        <f>IF(Sheet1!Q14&gt;0,Sheet1!Q14,"")</f>
        <v/>
      </c>
      <c r="H25" s="284">
        <f>IF(Sheet1!T14&gt;0,Sheet1!T14,"")</f>
        <v/>
      </c>
      <c r="I25" s="284">
        <f>IF(Sheet1!W14&gt;0,Sheet1!W14,"")</f>
        <v/>
      </c>
      <c r="J25" s="284">
        <f>IF(Sheet1!Z14&gt;0,Sheet1!Z14,"")</f>
        <v/>
      </c>
      <c r="K25" s="284" t="n"/>
      <c r="L25" s="284" t="n"/>
      <c r="M25" s="284">
        <f>IF(COUNTIF(D25:L25,"&gt;0")=0,"",_xlfn.MINIFS(D25:L25,D25:L25,"&gt;0"))</f>
        <v/>
      </c>
      <c r="N25" s="76">
        <f>IF(M25="","",INDEX($D$24:$L$24,1,MATCH(M25,D25:L25,0)))</f>
        <v/>
      </c>
      <c r="O25" s="285">
        <f>IF(COUNTIF(D25:L25,"&gt;0")&lt;2,"",MAX(D25:L25)/M25-1)</f>
        <v/>
      </c>
      <c r="P25" s="76">
        <f>IF(COUNTIF(D25:L25,"&gt;0")=0,"No prices",IF(COUNTIF(D25:L25,"&gt;0")=1,"Only 1 price","Comparison available"))</f>
        <v/>
      </c>
      <c r="Q25" s="66" t="n"/>
    </row>
    <row r="26" ht="41.4" customHeight="1">
      <c r="A26" s="76" t="n">
        <v>2</v>
      </c>
      <c r="B26" s="77">
        <f>Sheet1!D15</f>
        <v/>
      </c>
      <c r="C26" s="76">
        <f>Sheet1!E15</f>
        <v/>
      </c>
      <c r="D26" s="284">
        <f>IF(Sheet1!H15&gt;0,Sheet1!H15,"")</f>
        <v/>
      </c>
      <c r="E26" s="284">
        <f>IF(Sheet1!K15&gt;0,Sheet1!K15,"")</f>
        <v/>
      </c>
      <c r="F26" s="284">
        <f>IF(Sheet1!N15&gt;0,Sheet1!N15,"")</f>
        <v/>
      </c>
      <c r="G26" s="284">
        <f>IF(Sheet1!Q15&gt;0,Sheet1!Q15,"")</f>
        <v/>
      </c>
      <c r="H26" s="284">
        <f>IF(Sheet1!T15&gt;0,Sheet1!T15,"")</f>
        <v/>
      </c>
      <c r="I26" s="284">
        <f>IF(Sheet1!W15&gt;0,Sheet1!W15,"")</f>
        <v/>
      </c>
      <c r="J26" s="284">
        <f>IF(Sheet1!Z15&gt;0,Sheet1!Z15,"")</f>
        <v/>
      </c>
      <c r="K26" s="284" t="n"/>
      <c r="L26" s="284" t="n"/>
      <c r="M26" s="284">
        <f>IF(COUNTIF(D26:L26,"&gt;0")=0,"",_xlfn.MINIFS(D26:L26,D26:L26,"&gt;0"))</f>
        <v/>
      </c>
      <c r="N26" s="76">
        <f>IF(M26="","",INDEX($D$24:$L$24,1,MATCH(M26,D26:L26,0)))</f>
        <v/>
      </c>
      <c r="O26" s="285">
        <f>IF(COUNTIF(D26:L26,"&gt;0")&lt;2,"",MAX(D26:L26)/M26-1)</f>
        <v/>
      </c>
      <c r="P26" s="76">
        <f>IF(COUNTIF(D26:L26,"&gt;0")=0,"No prices",IF(COUNTIF(D26:L26,"&gt;0")=1,"Only 1 price","Comparison available"))</f>
        <v/>
      </c>
      <c r="Q26" s="66" t="n"/>
    </row>
    <row r="27" ht="41.4" customHeight="1">
      <c r="A27" s="76" t="n">
        <v>3</v>
      </c>
      <c r="B27" s="77">
        <f>Sheet1!D16</f>
        <v/>
      </c>
      <c r="C27" s="76">
        <f>Sheet1!E16</f>
        <v/>
      </c>
      <c r="D27" s="284">
        <f>IF(Sheet1!H16&gt;0,Sheet1!H16,"")</f>
        <v/>
      </c>
      <c r="E27" s="284">
        <f>IF(Sheet1!K16&gt;0,Sheet1!K16,"")</f>
        <v/>
      </c>
      <c r="F27" s="284">
        <f>IF(Sheet1!N16&gt;0,Sheet1!N16,"")</f>
        <v/>
      </c>
      <c r="G27" s="284">
        <f>IF(Sheet1!Q16&gt;0,Sheet1!Q16,"")</f>
        <v/>
      </c>
      <c r="H27" s="284">
        <f>IF(Sheet1!T16&gt;0,Sheet1!T16,"")</f>
        <v/>
      </c>
      <c r="I27" s="284">
        <f>IF(Sheet1!W16&gt;0,Sheet1!W16,"")</f>
        <v/>
      </c>
      <c r="J27" s="284">
        <f>IF(Sheet1!Z16&gt;0,Sheet1!Z16,"")</f>
        <v/>
      </c>
      <c r="K27" s="284" t="n"/>
      <c r="L27" s="284" t="n"/>
      <c r="M27" s="284">
        <f>IF(COUNTIF(D27:L27,"&gt;0")=0,"",_xlfn.MINIFS(D27:L27,D27:L27,"&gt;0"))</f>
        <v/>
      </c>
      <c r="N27" s="76">
        <f>IF(M27="","",INDEX($D$24:$L$24,1,MATCH(M27,D27:L27,0)))</f>
        <v/>
      </c>
      <c r="O27" s="285">
        <f>IF(COUNTIF(D27:L27,"&gt;0")&lt;2,"",MAX(D27:L27)/M27-1)</f>
        <v/>
      </c>
      <c r="P27" s="76">
        <f>IF(COUNTIF(D27:L27,"&gt;0")=0,"No prices",IF(COUNTIF(D27:L27,"&gt;0")=1,"Only 1 price","Comparison available"))</f>
        <v/>
      </c>
      <c r="Q27" s="66" t="n"/>
    </row>
    <row r="28" ht="41.4" customHeight="1">
      <c r="A28" s="76" t="n">
        <v>4</v>
      </c>
      <c r="B28" s="77">
        <f>Sheet1!D17</f>
        <v/>
      </c>
      <c r="C28" s="76">
        <f>Sheet1!E17</f>
        <v/>
      </c>
      <c r="D28" s="284">
        <f>IF(Sheet1!H17&gt;0,Sheet1!H17,"")</f>
        <v/>
      </c>
      <c r="E28" s="284">
        <f>IF(Sheet1!K17&gt;0,Sheet1!K17,"")</f>
        <v/>
      </c>
      <c r="F28" s="284">
        <f>IF(Sheet1!N17&gt;0,Sheet1!N17,"")</f>
        <v/>
      </c>
      <c r="G28" s="284">
        <f>IF(Sheet1!Q17&gt;0,Sheet1!Q17,"")</f>
        <v/>
      </c>
      <c r="H28" s="284">
        <f>IF(Sheet1!T17&gt;0,Sheet1!T17,"")</f>
        <v/>
      </c>
      <c r="I28" s="284">
        <f>IF(Sheet1!W17&gt;0,Sheet1!W17,"")</f>
        <v/>
      </c>
      <c r="J28" s="284">
        <f>IF(Sheet1!Z17&gt;0,Sheet1!Z17,"")</f>
        <v/>
      </c>
      <c r="K28" s="284" t="n"/>
      <c r="L28" s="284" t="n"/>
      <c r="M28" s="284">
        <f>IF(COUNTIF(D28:L28,"&gt;0")=0,"",_xlfn.MINIFS(D28:L28,D28:L28,"&gt;0"))</f>
        <v/>
      </c>
      <c r="N28" s="76">
        <f>IF(M28="","",INDEX($D$24:$L$24,1,MATCH(M28,D28:L28,0)))</f>
        <v/>
      </c>
      <c r="O28" s="285">
        <f>IF(COUNTIF(D28:L28,"&gt;0")&lt;2,"",MAX(D28:L28)/M28-1)</f>
        <v/>
      </c>
      <c r="P28" s="76">
        <f>IF(COUNTIF(D28:L28,"&gt;0")=0,"No prices",IF(COUNTIF(D28:L28,"&gt;0")=1,"Only 1 price","Comparison available"))</f>
        <v/>
      </c>
      <c r="Q28" s="66" t="n"/>
    </row>
    <row r="29" ht="41.4" customHeight="1">
      <c r="A29" s="76" t="n">
        <v>5</v>
      </c>
      <c r="B29" s="77">
        <f>Sheet1!D18</f>
        <v/>
      </c>
      <c r="C29" s="76">
        <f>Sheet1!E18</f>
        <v/>
      </c>
      <c r="D29" s="284">
        <f>IF(Sheet1!H18&gt;0,Sheet1!H18,"")</f>
        <v/>
      </c>
      <c r="E29" s="284">
        <f>IF(Sheet1!K18&gt;0,Sheet1!K18,"")</f>
        <v/>
      </c>
      <c r="F29" s="284">
        <f>IF(Sheet1!N18&gt;0,Sheet1!N18,"")</f>
        <v/>
      </c>
      <c r="G29" s="284">
        <f>IF(Sheet1!Q18&gt;0,Sheet1!Q18,"")</f>
        <v/>
      </c>
      <c r="H29" s="284">
        <f>IF(Sheet1!T18&gt;0,Sheet1!T18,"")</f>
        <v/>
      </c>
      <c r="I29" s="284">
        <f>IF(Sheet1!W18&gt;0,Sheet1!W18,"")</f>
        <v/>
      </c>
      <c r="J29" s="284">
        <f>IF(Sheet1!Z18&gt;0,Sheet1!Z18,"")</f>
        <v/>
      </c>
      <c r="K29" s="284" t="n"/>
      <c r="L29" s="284" t="n"/>
      <c r="M29" s="284">
        <f>IF(COUNTIF(D29:L29,"&gt;0")=0,"",_xlfn.MINIFS(D29:L29,D29:L29,"&gt;0"))</f>
        <v/>
      </c>
      <c r="N29" s="76">
        <f>IF(M29="","",INDEX($D$24:$L$24,1,MATCH(M29,D29:L29,0)))</f>
        <v/>
      </c>
      <c r="O29" s="285">
        <f>IF(COUNTIF(D29:L29,"&gt;0")&lt;2,"",MAX(D29:L29)/M29-1)</f>
        <v/>
      </c>
      <c r="P29" s="76">
        <f>IF(COUNTIF(D29:L29,"&gt;0")=0,"No prices",IF(COUNTIF(D29:L29,"&gt;0")=1,"Only 1 price","Comparison available"))</f>
        <v/>
      </c>
      <c r="Q29" s="66" t="n"/>
    </row>
    <row r="30" ht="41.4" customHeight="1">
      <c r="A30" s="76" t="n">
        <v>6</v>
      </c>
      <c r="B30" s="77">
        <f>Sheet1!D19</f>
        <v/>
      </c>
      <c r="C30" s="76">
        <f>Sheet1!E19</f>
        <v/>
      </c>
      <c r="D30" s="284">
        <f>IF(Sheet1!H19&gt;0,Sheet1!H19,"")</f>
        <v/>
      </c>
      <c r="E30" s="284">
        <f>IF(Sheet1!K19&gt;0,Sheet1!K19,"")</f>
        <v/>
      </c>
      <c r="F30" s="284">
        <f>IF(Sheet1!N19&gt;0,Sheet1!N19,"")</f>
        <v/>
      </c>
      <c r="G30" s="284">
        <f>IF(Sheet1!Q19&gt;0,Sheet1!Q19,"")</f>
        <v/>
      </c>
      <c r="H30" s="284">
        <f>IF(Sheet1!T19&gt;0,Sheet1!T19,"")</f>
        <v/>
      </c>
      <c r="I30" s="284">
        <f>IF(Sheet1!W19&gt;0,Sheet1!W19,"")</f>
        <v/>
      </c>
      <c r="J30" s="284">
        <f>IF(Sheet1!Z19&gt;0,Sheet1!Z19,"")</f>
        <v/>
      </c>
      <c r="K30" s="284" t="n"/>
      <c r="L30" s="284" t="n"/>
      <c r="M30" s="284">
        <f>IF(COUNTIF(D30:L30,"&gt;0")=0,"",_xlfn.MINIFS(D30:L30,D30:L30,"&gt;0"))</f>
        <v/>
      </c>
      <c r="N30" s="76">
        <f>IF(M30="","",INDEX($D$24:$L$24,1,MATCH(M30,D30:L30,0)))</f>
        <v/>
      </c>
      <c r="O30" s="285">
        <f>IF(COUNTIF(D30:L30,"&gt;0")&lt;2,"",MAX(D30:L30)/M30-1)</f>
        <v/>
      </c>
      <c r="P30" s="76">
        <f>IF(COUNTIF(D30:L30,"&gt;0")=0,"No prices",IF(COUNTIF(D30:L30,"&gt;0")=1,"Only 1 price","Comparison available"))</f>
        <v/>
      </c>
      <c r="Q30" s="66" t="n"/>
    </row>
    <row r="31" ht="41.4" customHeight="1">
      <c r="A31" s="76" t="n">
        <v>7</v>
      </c>
      <c r="B31" s="77">
        <f>Sheet1!D20</f>
        <v/>
      </c>
      <c r="C31" s="76">
        <f>Sheet1!E20</f>
        <v/>
      </c>
      <c r="D31" s="284">
        <f>IF(Sheet1!H20&gt;0,Sheet1!H20,"")</f>
        <v/>
      </c>
      <c r="E31" s="284">
        <f>IF(Sheet1!K20&gt;0,Sheet1!K20,"")</f>
        <v/>
      </c>
      <c r="F31" s="284">
        <f>IF(Sheet1!N20&gt;0,Sheet1!N20,"")</f>
        <v/>
      </c>
      <c r="G31" s="284">
        <f>IF(Sheet1!Q20&gt;0,Sheet1!Q20,"")</f>
        <v/>
      </c>
      <c r="H31" s="284">
        <f>IF(Sheet1!T20&gt;0,Sheet1!T20,"")</f>
        <v/>
      </c>
      <c r="I31" s="284">
        <f>IF(Sheet1!W20&gt;0,Sheet1!W20,"")</f>
        <v/>
      </c>
      <c r="J31" s="284">
        <f>IF(Sheet1!Z20&gt;0,Sheet1!Z20,"")</f>
        <v/>
      </c>
      <c r="K31" s="284" t="n"/>
      <c r="L31" s="284" t="n"/>
      <c r="M31" s="284">
        <f>IF(COUNTIF(D31:L31,"&gt;0")=0,"",_xlfn.MINIFS(D31:L31,D31:L31,"&gt;0"))</f>
        <v/>
      </c>
      <c r="N31" s="76">
        <f>IF(M31="","",INDEX($D$24:$L$24,1,MATCH(M31,D31:L31,0)))</f>
        <v/>
      </c>
      <c r="O31" s="285">
        <f>IF(COUNTIF(D31:L31,"&gt;0")&lt;2,"",MAX(D31:L31)/M31-1)</f>
        <v/>
      </c>
      <c r="P31" s="76">
        <f>IF(COUNTIF(D31:L31,"&gt;0")=0,"No prices",IF(COUNTIF(D31:L31,"&gt;0")=1,"Only 1 price","Comparison available"))</f>
        <v/>
      </c>
      <c r="Q31" s="66" t="n"/>
    </row>
    <row r="32" ht="41.4" customHeight="1">
      <c r="A32" s="76" t="n">
        <v>8</v>
      </c>
      <c r="B32" s="77">
        <f>Sheet1!D21</f>
        <v/>
      </c>
      <c r="C32" s="76">
        <f>Sheet1!E21</f>
        <v/>
      </c>
      <c r="D32" s="284">
        <f>IF(Sheet1!H21&gt;0,Sheet1!H21,"")</f>
        <v/>
      </c>
      <c r="E32" s="284">
        <f>IF(Sheet1!K21&gt;0,Sheet1!K21,"")</f>
        <v/>
      </c>
      <c r="F32" s="284">
        <f>IF(Sheet1!N21&gt;0,Sheet1!N21,"")</f>
        <v/>
      </c>
      <c r="G32" s="284">
        <f>IF(Sheet1!Q21&gt;0,Sheet1!Q21,"")</f>
        <v/>
      </c>
      <c r="H32" s="284">
        <f>IF(Sheet1!T21&gt;0,Sheet1!T21,"")</f>
        <v/>
      </c>
      <c r="I32" s="284">
        <f>IF(Sheet1!W21&gt;0,Sheet1!W21,"")</f>
        <v/>
      </c>
      <c r="J32" s="284">
        <f>IF(Sheet1!Z21&gt;0,Sheet1!Z21,"")</f>
        <v/>
      </c>
      <c r="K32" s="284" t="n"/>
      <c r="L32" s="284" t="n"/>
      <c r="M32" s="284">
        <f>IF(COUNTIF(D32:L32,"&gt;0")=0,"",_xlfn.MINIFS(D32:L32,D32:L32,"&gt;0"))</f>
        <v/>
      </c>
      <c r="N32" s="76">
        <f>IF(M32="","",INDEX($D$24:$L$24,1,MATCH(M32,D32:L32,0)))</f>
        <v/>
      </c>
      <c r="O32" s="285">
        <f>IF(COUNTIF(D32:L32,"&gt;0")&lt;2,"",MAX(D32:L32)/M32-1)</f>
        <v/>
      </c>
      <c r="P32" s="76">
        <f>IF(COUNTIF(D32:L32,"&gt;0")=0,"No prices",IF(COUNTIF(D32:L32,"&gt;0")=1,"Only 1 price","Comparison available"))</f>
        <v/>
      </c>
      <c r="Q32" s="66" t="n"/>
    </row>
    <row r="33" ht="41.4" customHeight="1">
      <c r="A33" s="76" t="n">
        <v>9</v>
      </c>
      <c r="B33" s="77">
        <f>Sheet1!D22</f>
        <v/>
      </c>
      <c r="C33" s="76">
        <f>Sheet1!E22</f>
        <v/>
      </c>
      <c r="D33" s="284">
        <f>IF(Sheet1!H22&gt;0,Sheet1!H22,"")</f>
        <v/>
      </c>
      <c r="E33" s="284">
        <f>IF(Sheet1!K22&gt;0,Sheet1!K22,"")</f>
        <v/>
      </c>
      <c r="F33" s="284">
        <f>IF(Sheet1!N22&gt;0,Sheet1!N22,"")</f>
        <v/>
      </c>
      <c r="G33" s="284">
        <f>IF(Sheet1!Q22&gt;0,Sheet1!Q22,"")</f>
        <v/>
      </c>
      <c r="H33" s="284">
        <f>IF(Sheet1!T22&gt;0,Sheet1!T22,"")</f>
        <v/>
      </c>
      <c r="I33" s="284">
        <f>IF(Sheet1!W22&gt;0,Sheet1!W22,"")</f>
        <v/>
      </c>
      <c r="J33" s="284">
        <f>IF(Sheet1!Z22&gt;0,Sheet1!Z22,"")</f>
        <v/>
      </c>
      <c r="K33" s="284" t="n"/>
      <c r="L33" s="284" t="n"/>
      <c r="M33" s="284">
        <f>IF(COUNTIF(D33:L33,"&gt;0")=0,"",_xlfn.MINIFS(D33:L33,D33:L33,"&gt;0"))</f>
        <v/>
      </c>
      <c r="N33" s="76">
        <f>IF(M33="","",INDEX($D$24:$L$24,1,MATCH(M33,D33:L33,0)))</f>
        <v/>
      </c>
      <c r="O33" s="285">
        <f>IF(COUNTIF(D33:L33,"&gt;0")&lt;2,"",MAX(D33:L33)/M33-1)</f>
        <v/>
      </c>
      <c r="P33" s="76">
        <f>IF(COUNTIF(D33:L33,"&gt;0")=0,"No prices",IF(COUNTIF(D33:L33,"&gt;0")=1,"Only 1 price","Comparison available"))</f>
        <v/>
      </c>
      <c r="Q33" s="66" t="n"/>
    </row>
    <row r="34" ht="41.4" customHeight="1">
      <c r="A34" s="76" t="n">
        <v>10</v>
      </c>
      <c r="B34" s="77">
        <f>Sheet1!D23</f>
        <v/>
      </c>
      <c r="C34" s="76">
        <f>Sheet1!E23</f>
        <v/>
      </c>
      <c r="D34" s="284">
        <f>IF(Sheet1!H23&gt;0,Sheet1!H23,"")</f>
        <v/>
      </c>
      <c r="E34" s="284">
        <f>IF(Sheet1!K23&gt;0,Sheet1!K23,"")</f>
        <v/>
      </c>
      <c r="F34" s="284">
        <f>IF(Sheet1!N23&gt;0,Sheet1!N23,"")</f>
        <v/>
      </c>
      <c r="G34" s="284">
        <f>IF(Sheet1!Q23&gt;0,Sheet1!Q23,"")</f>
        <v/>
      </c>
      <c r="H34" s="284">
        <f>IF(Sheet1!T23&gt;0,Sheet1!T23,"")</f>
        <v/>
      </c>
      <c r="I34" s="284">
        <f>IF(Sheet1!W23&gt;0,Sheet1!W23,"")</f>
        <v/>
      </c>
      <c r="J34" s="284">
        <f>IF(Sheet1!Z23&gt;0,Sheet1!Z23,"")</f>
        <v/>
      </c>
      <c r="K34" s="284" t="n"/>
      <c r="L34" s="284" t="n"/>
      <c r="M34" s="284">
        <f>IF(COUNTIF(D34:L34,"&gt;0")=0,"",_xlfn.MINIFS(D34:L34,D34:L34,"&gt;0"))</f>
        <v/>
      </c>
      <c r="N34" s="76">
        <f>IF(M34="","",INDEX($D$24:$L$24,1,MATCH(M34,D34:L34,0)))</f>
        <v/>
      </c>
      <c r="O34" s="285">
        <f>IF(COUNTIF(D34:L34,"&gt;0")&lt;2,"",MAX(D34:L34)/M34-1)</f>
        <v/>
      </c>
      <c r="P34" s="76">
        <f>IF(COUNTIF(D34:L34,"&gt;0")=0,"No prices",IF(COUNTIF(D34:L34,"&gt;0")=1,"Only 1 price","Comparison available"))</f>
        <v/>
      </c>
      <c r="Q34" s="66" t="n"/>
    </row>
  </sheetData>
  <mergeCells count="12">
    <mergeCell ref="A17:N17"/>
    <mergeCell ref="B2:C2"/>
    <mergeCell ref="B4:C4"/>
    <mergeCell ref="B3:C3"/>
    <mergeCell ref="A23:P23"/>
    <mergeCell ref="B5:C5"/>
    <mergeCell ref="B18:N18"/>
    <mergeCell ref="A7:N7"/>
    <mergeCell ref="B21:N21"/>
    <mergeCell ref="B19:N19"/>
    <mergeCell ref="B20:N20"/>
    <mergeCell ref="A1:N1"/>
  </mergeCells>
  <conditionalFormatting sqref="A9:N15">
    <cfRule type="expression" priority="1" dxfId="4">
      <formula>$K9=1</formula>
    </cfRule>
    <cfRule type="expression" priority="2" dxfId="6">
      <formula>$N9="Не заполнено"</formula>
    </cfRule>
  </conditionalFormatting>
  <conditionalFormatting sqref="B21:N21">
    <cfRule type="expression" priority="4" dxfId="5">
      <formula>$E$4&lt;2</formula>
    </cfRule>
  </conditionalFormatting>
  <conditionalFormatting sqref="D25:L34">
    <cfRule type="expression" priority="3" dxfId="4">
      <formula>AND(D25&gt;0,D25=$M25)</formula>
    </cfRule>
  </conditionalFormatting>
  <pageMargins left="0.7" right="0.7" top="0.75" bottom="0.75" header="0.3" footer="0.3"/>
  <pageSetup orientation="landscape" paperSize="9" scale="34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2015-03-19T06:12:37Z</dcterms:created>
  <dcterms:modified xmlns:dcterms="http://purl.org/dc/terms/" xmlns:xsi="http://www.w3.org/2001/XMLSchema-instance" xsi:type="dcterms:W3CDTF">2026-08-17T04:03:42Z</dcterms:modified>
  <cp:lastModifiedBy>Artur Zgodko</cp:lastModifiedBy>
  <cp:lastPrinted>2026-08-10T12:40:38Z</cp:lastPrinted>
</cp:coreProperties>
</file>